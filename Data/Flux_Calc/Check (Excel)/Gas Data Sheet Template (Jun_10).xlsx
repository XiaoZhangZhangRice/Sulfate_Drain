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hang\Documents\GitHub\Sulfate_Drain\Data\Flux_Calc\Check\"/>
    </mc:Choice>
  </mc:AlternateContent>
  <xr:revisionPtr revIDLastSave="0" documentId="13_ncr:1_{2DE26310-B2D7-4127-B273-31547BC80B2B}" xr6:coauthVersionLast="47" xr6:coauthVersionMax="47" xr10:uidLastSave="{00000000-0000-0000-0000-000000000000}"/>
  <bookViews>
    <workbookView xWindow="-120" yWindow="-120" windowWidth="29040" windowHeight="15720" tabRatio="805" activeTab="2" xr2:uid="{00000000-000D-0000-FFFF-FFFF00000000}"/>
  </bookViews>
  <sheets>
    <sheet name="Field data" sheetId="43" r:id="rId1"/>
    <sheet name="GC rawdata" sheetId="51" r:id="rId2"/>
    <sheet name="Flux data" sheetId="45" r:id="rId3"/>
  </sheets>
  <definedNames>
    <definedName name="mgPERg">#REF!</definedName>
    <definedName name="minPERday">#REF!</definedName>
    <definedName name="_xlnm.Print_Area" localSheetId="1">'GC rawdata'!$H$2:$AB$12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8" i="51" l="1"/>
  <c r="N7" i="51" l="1"/>
  <c r="M10" i="43"/>
  <c r="L19" i="45" l="1"/>
  <c r="D19" i="43"/>
  <c r="H19" i="43" s="1"/>
  <c r="J19" i="43" s="1"/>
  <c r="K19" i="43" s="1"/>
  <c r="K37" i="45" s="1"/>
  <c r="L19" i="43"/>
  <c r="L37" i="45" s="1"/>
  <c r="M19" i="43"/>
  <c r="D20" i="43"/>
  <c r="H20" i="43" s="1"/>
  <c r="J20" i="43" s="1"/>
  <c r="K20" i="43" s="1"/>
  <c r="L20" i="43"/>
  <c r="L38" i="45" s="1"/>
  <c r="M20" i="43"/>
  <c r="D21" i="43"/>
  <c r="H21" i="43" s="1"/>
  <c r="J21" i="43" s="1"/>
  <c r="K21" i="43" s="1"/>
  <c r="K39" i="45" s="1"/>
  <c r="L21" i="43"/>
  <c r="L39" i="45" s="1"/>
  <c r="M21" i="43"/>
  <c r="K18" i="45" l="1"/>
  <c r="K38" i="45"/>
  <c r="K19" i="45"/>
  <c r="L17" i="45"/>
  <c r="K17" i="45"/>
  <c r="L18" i="45"/>
  <c r="Q37" i="51"/>
  <c r="P37" i="51"/>
  <c r="O37" i="51"/>
  <c r="N37" i="51"/>
  <c r="Q36" i="51"/>
  <c r="P36" i="51"/>
  <c r="O36" i="51"/>
  <c r="N36" i="51"/>
  <c r="Q35" i="51"/>
  <c r="P35" i="51"/>
  <c r="O35" i="51"/>
  <c r="N35" i="51"/>
  <c r="Q34" i="51"/>
  <c r="P34" i="51"/>
  <c r="O34" i="51"/>
  <c r="Q33" i="51"/>
  <c r="N34" i="51"/>
  <c r="P33" i="51"/>
  <c r="O33" i="51"/>
  <c r="N33" i="51"/>
  <c r="Q32" i="51"/>
  <c r="P32" i="51"/>
  <c r="O32" i="51"/>
  <c r="N32" i="51"/>
  <c r="Q31" i="51"/>
  <c r="P31" i="51"/>
  <c r="O31" i="51"/>
  <c r="N31" i="51"/>
  <c r="Q30" i="51"/>
  <c r="P30" i="51"/>
  <c r="O30" i="51"/>
  <c r="N30" i="51"/>
  <c r="Q29" i="51"/>
  <c r="P29" i="51"/>
  <c r="O29" i="51"/>
  <c r="N29" i="51"/>
  <c r="Q28" i="51"/>
  <c r="P28" i="51"/>
  <c r="O28" i="51"/>
  <c r="N28" i="51"/>
  <c r="Q27" i="51"/>
  <c r="P27" i="51"/>
  <c r="O27" i="51"/>
  <c r="N27" i="51"/>
  <c r="Q26" i="51"/>
  <c r="P26" i="51"/>
  <c r="O26" i="51"/>
  <c r="N26" i="51"/>
  <c r="Q18" i="51"/>
  <c r="P18" i="51"/>
  <c r="O18" i="51"/>
  <c r="N18" i="51"/>
  <c r="Q17" i="51"/>
  <c r="P17" i="51"/>
  <c r="O17" i="51"/>
  <c r="N17" i="51"/>
  <c r="Q16" i="51"/>
  <c r="P16" i="51"/>
  <c r="O16" i="51"/>
  <c r="N16" i="51"/>
  <c r="Q15" i="51"/>
  <c r="P15" i="51"/>
  <c r="O15" i="51"/>
  <c r="N15" i="51"/>
  <c r="Q14" i="51"/>
  <c r="P14" i="51"/>
  <c r="O14" i="51"/>
  <c r="N14" i="51"/>
  <c r="Q13" i="51"/>
  <c r="P13" i="51"/>
  <c r="O13" i="51"/>
  <c r="N13" i="51"/>
  <c r="Q12" i="51"/>
  <c r="P12" i="51"/>
  <c r="O12" i="51"/>
  <c r="N12" i="51"/>
  <c r="Q11" i="51"/>
  <c r="P11" i="51"/>
  <c r="O11" i="51"/>
  <c r="N11" i="51"/>
  <c r="Q10" i="51"/>
  <c r="P10" i="51"/>
  <c r="O10" i="51"/>
  <c r="Q9" i="51"/>
  <c r="N10" i="51"/>
  <c r="P9" i="51"/>
  <c r="O9" i="51"/>
  <c r="N9" i="51"/>
  <c r="Q8" i="51"/>
  <c r="P8" i="51"/>
  <c r="O8" i="51"/>
  <c r="N8" i="51"/>
  <c r="Q7" i="51"/>
  <c r="P7" i="51"/>
  <c r="O7" i="51"/>
  <c r="M32" i="51"/>
  <c r="D10" i="43" l="1"/>
  <c r="D42" i="43" l="1"/>
  <c r="B42" i="43"/>
  <c r="M30" i="51" l="1"/>
  <c r="M31" i="51"/>
  <c r="M33" i="51"/>
  <c r="M34" i="51"/>
  <c r="M35" i="51"/>
  <c r="M36" i="51"/>
  <c r="M37" i="51"/>
  <c r="L30" i="51"/>
  <c r="L31" i="51"/>
  <c r="L32" i="51"/>
  <c r="L33" i="51"/>
  <c r="L34" i="51"/>
  <c r="L35" i="51"/>
  <c r="L36" i="51"/>
  <c r="L37" i="51"/>
  <c r="K30" i="51"/>
  <c r="K31" i="51"/>
  <c r="K32" i="51"/>
  <c r="K33" i="51"/>
  <c r="K34" i="51"/>
  <c r="K35" i="51"/>
  <c r="K36" i="51"/>
  <c r="K37" i="51"/>
  <c r="J30" i="51"/>
  <c r="J31" i="51"/>
  <c r="J32" i="51"/>
  <c r="J33" i="51"/>
  <c r="J34" i="51"/>
  <c r="J35" i="51"/>
  <c r="J36" i="51"/>
  <c r="J37" i="51"/>
  <c r="U30" i="51" l="1"/>
  <c r="U31" i="51"/>
  <c r="U32" i="51"/>
  <c r="U33" i="51"/>
  <c r="Y33" i="51" s="1"/>
  <c r="F35" i="45" s="1"/>
  <c r="U34" i="51"/>
  <c r="Y34" i="51" s="1"/>
  <c r="F36" i="45" s="1"/>
  <c r="U35" i="51"/>
  <c r="U36" i="51"/>
  <c r="U37" i="51"/>
  <c r="Y37" i="51" s="1"/>
  <c r="F39" i="45" s="1"/>
  <c r="T30" i="51"/>
  <c r="T31" i="51"/>
  <c r="T32" i="51"/>
  <c r="T33" i="51"/>
  <c r="T34" i="51"/>
  <c r="T35" i="51"/>
  <c r="T36" i="51"/>
  <c r="X36" i="51" s="1"/>
  <c r="E38" i="45" s="1"/>
  <c r="T37" i="51"/>
  <c r="X37" i="51" s="1"/>
  <c r="E39" i="45" s="1"/>
  <c r="S30" i="51"/>
  <c r="S31" i="51"/>
  <c r="S32" i="51"/>
  <c r="W32" i="51" s="1"/>
  <c r="D34" i="45" s="1"/>
  <c r="S33" i="51"/>
  <c r="S34" i="51"/>
  <c r="S35" i="51"/>
  <c r="W35" i="51" s="1"/>
  <c r="D37" i="45" s="1"/>
  <c r="S36" i="51"/>
  <c r="W36" i="51" s="1"/>
  <c r="D38" i="45" s="1"/>
  <c r="S37" i="51"/>
  <c r="W37" i="51" s="1"/>
  <c r="D39" i="45" s="1"/>
  <c r="R33" i="51"/>
  <c r="V33" i="51" s="1"/>
  <c r="C35" i="45" s="1"/>
  <c r="R34" i="51"/>
  <c r="V34" i="51" s="1"/>
  <c r="C36" i="45" s="1"/>
  <c r="R35" i="51"/>
  <c r="R36" i="51"/>
  <c r="V36" i="51" s="1"/>
  <c r="C38" i="45" s="1"/>
  <c r="R37" i="51"/>
  <c r="V37" i="51" s="1"/>
  <c r="C39" i="45" s="1"/>
  <c r="H39" i="45" s="1"/>
  <c r="I39" i="45" s="1"/>
  <c r="R30" i="51"/>
  <c r="V30" i="51" s="1"/>
  <c r="C32" i="45" s="1"/>
  <c r="R31" i="51"/>
  <c r="V31" i="51" s="1"/>
  <c r="C33" i="45" s="1"/>
  <c r="R32" i="51"/>
  <c r="V32" i="51" s="1"/>
  <c r="C34" i="45" s="1"/>
  <c r="U11" i="51"/>
  <c r="Y11" i="51" s="1"/>
  <c r="U12" i="51"/>
  <c r="U13" i="51"/>
  <c r="U14" i="51"/>
  <c r="Y14" i="51" s="1"/>
  <c r="F15" i="45" s="1"/>
  <c r="U15" i="51"/>
  <c r="U16" i="51"/>
  <c r="Y16" i="51" s="1"/>
  <c r="F17" i="45" s="1"/>
  <c r="U17" i="51"/>
  <c r="U18" i="51"/>
  <c r="Y18" i="51" s="1"/>
  <c r="F19" i="45" s="1"/>
  <c r="T11" i="51"/>
  <c r="X11" i="51" s="1"/>
  <c r="E12" i="45" s="1"/>
  <c r="T12" i="51"/>
  <c r="T13" i="51"/>
  <c r="T14" i="51"/>
  <c r="T15" i="51"/>
  <c r="T16" i="51"/>
  <c r="T17" i="51"/>
  <c r="T18" i="51"/>
  <c r="S11" i="51"/>
  <c r="S12" i="51"/>
  <c r="S13" i="51"/>
  <c r="S14" i="51"/>
  <c r="S15" i="51"/>
  <c r="S16" i="51"/>
  <c r="S17" i="51"/>
  <c r="S18" i="51"/>
  <c r="R11" i="51"/>
  <c r="V11" i="51" s="1"/>
  <c r="C12" i="45" s="1"/>
  <c r="R12" i="51"/>
  <c r="V12" i="51" s="1"/>
  <c r="C13" i="45" s="1"/>
  <c r="R13" i="51"/>
  <c r="V13" i="51" s="1"/>
  <c r="C14" i="45" s="1"/>
  <c r="R14" i="51"/>
  <c r="V14" i="51" s="1"/>
  <c r="C15" i="45" s="1"/>
  <c r="R15" i="51"/>
  <c r="V15" i="51" s="1"/>
  <c r="C16" i="45" s="1"/>
  <c r="R16" i="51"/>
  <c r="V16" i="51" s="1"/>
  <c r="C17" i="45" s="1"/>
  <c r="R17" i="51"/>
  <c r="V17" i="51" s="1"/>
  <c r="C18" i="45" s="1"/>
  <c r="R18" i="51"/>
  <c r="V18" i="51" s="1"/>
  <c r="C19" i="45" s="1"/>
  <c r="R7" i="51"/>
  <c r="V7" i="51" s="1"/>
  <c r="M29" i="51"/>
  <c r="M28" i="51"/>
  <c r="M27" i="51"/>
  <c r="M26" i="51"/>
  <c r="L29" i="51"/>
  <c r="L28" i="51"/>
  <c r="L27" i="51"/>
  <c r="L26" i="51"/>
  <c r="K29" i="51"/>
  <c r="K28" i="51"/>
  <c r="K27" i="51"/>
  <c r="K26" i="51"/>
  <c r="J29" i="51"/>
  <c r="J28" i="51"/>
  <c r="J27" i="51"/>
  <c r="J26" i="51"/>
  <c r="M42" i="43"/>
  <c r="L42" i="43"/>
  <c r="K42" i="43"/>
  <c r="J42" i="43"/>
  <c r="I42" i="43"/>
  <c r="H42" i="43"/>
  <c r="G42" i="43"/>
  <c r="F42" i="43"/>
  <c r="E42" i="43"/>
  <c r="C42" i="43"/>
  <c r="M52" i="43"/>
  <c r="L52" i="43"/>
  <c r="K52" i="43"/>
  <c r="J52" i="43"/>
  <c r="I52" i="43"/>
  <c r="H52" i="43"/>
  <c r="G52" i="43"/>
  <c r="F52" i="43"/>
  <c r="E52" i="43"/>
  <c r="D52" i="43"/>
  <c r="C52" i="43"/>
  <c r="B52" i="43"/>
  <c r="M71" i="43"/>
  <c r="M70" i="43"/>
  <c r="M69" i="43"/>
  <c r="M68" i="43"/>
  <c r="M67" i="43"/>
  <c r="M66" i="43"/>
  <c r="M65" i="43"/>
  <c r="M64" i="43"/>
  <c r="M63" i="43"/>
  <c r="M62" i="43"/>
  <c r="M61" i="43"/>
  <c r="M60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M18" i="43"/>
  <c r="M17" i="43"/>
  <c r="M16" i="43"/>
  <c r="M15" i="43"/>
  <c r="M14" i="43"/>
  <c r="M13" i="43"/>
  <c r="D18" i="43"/>
  <c r="H18" i="43" s="1"/>
  <c r="J18" i="43" s="1"/>
  <c r="K18" i="43" s="1"/>
  <c r="D17" i="43"/>
  <c r="H17" i="43" s="1"/>
  <c r="J17" i="43" s="1"/>
  <c r="K17" i="43" s="1"/>
  <c r="D16" i="43"/>
  <c r="H16" i="43" s="1"/>
  <c r="J16" i="43" s="1"/>
  <c r="K16" i="43" s="1"/>
  <c r="D15" i="43"/>
  <c r="H15" i="43" s="1"/>
  <c r="J15" i="43" s="1"/>
  <c r="K15" i="43" s="1"/>
  <c r="D14" i="43"/>
  <c r="H14" i="43" s="1"/>
  <c r="J14" i="43" s="1"/>
  <c r="K14" i="43" s="1"/>
  <c r="G17" i="45" l="1"/>
  <c r="J17" i="45" s="1"/>
  <c r="M17" i="45" s="1"/>
  <c r="N17" i="45" s="1"/>
  <c r="O17" i="45" s="1"/>
  <c r="G19" i="45"/>
  <c r="J19" i="45" s="1"/>
  <c r="M19" i="45" s="1"/>
  <c r="N19" i="45" s="1"/>
  <c r="O19" i="45" s="1"/>
  <c r="G39" i="45"/>
  <c r="J39" i="45" s="1"/>
  <c r="M39" i="45" s="1"/>
  <c r="N39" i="45" s="1"/>
  <c r="O39" i="45" s="1"/>
  <c r="G15" i="45"/>
  <c r="G35" i="45"/>
  <c r="G36" i="45"/>
  <c r="F12" i="45"/>
  <c r="G12" i="45" s="1"/>
  <c r="Y31" i="51"/>
  <c r="F33" i="45" s="1"/>
  <c r="G33" i="45" s="1"/>
  <c r="Y35" i="51"/>
  <c r="F37" i="45" s="1"/>
  <c r="X17" i="51"/>
  <c r="E18" i="45" s="1"/>
  <c r="X13" i="51"/>
  <c r="E14" i="45" s="1"/>
  <c r="Y32" i="51"/>
  <c r="F34" i="45" s="1"/>
  <c r="G34" i="45" s="1"/>
  <c r="W16" i="51"/>
  <c r="D17" i="45" s="1"/>
  <c r="W12" i="51"/>
  <c r="D13" i="45" s="1"/>
  <c r="X31" i="51"/>
  <c r="E33" i="45" s="1"/>
  <c r="W17" i="51"/>
  <c r="D18" i="45" s="1"/>
  <c r="W11" i="51"/>
  <c r="D12" i="45" s="1"/>
  <c r="W34" i="51"/>
  <c r="D36" i="45" s="1"/>
  <c r="W30" i="51"/>
  <c r="D32" i="45" s="1"/>
  <c r="X30" i="51"/>
  <c r="E32" i="45" s="1"/>
  <c r="W13" i="51"/>
  <c r="D14" i="45" s="1"/>
  <c r="X14" i="51"/>
  <c r="E15" i="45" s="1"/>
  <c r="Y15" i="51"/>
  <c r="F16" i="45" s="1"/>
  <c r="G16" i="45" s="1"/>
  <c r="X12" i="51"/>
  <c r="E13" i="45" s="1"/>
  <c r="Y13" i="51"/>
  <c r="F14" i="45" s="1"/>
  <c r="G14" i="45" s="1"/>
  <c r="X16" i="51"/>
  <c r="E17" i="45" s="1"/>
  <c r="W15" i="51"/>
  <c r="D16" i="45" s="1"/>
  <c r="X18" i="51"/>
  <c r="E19" i="45" s="1"/>
  <c r="W18" i="51"/>
  <c r="D19" i="45" s="1"/>
  <c r="H19" i="45" s="1"/>
  <c r="I19" i="45" s="1"/>
  <c r="Y17" i="51"/>
  <c r="F18" i="45" s="1"/>
  <c r="G18" i="45" s="1"/>
  <c r="J18" i="45" s="1"/>
  <c r="M18" i="45" s="1"/>
  <c r="N18" i="45" s="1"/>
  <c r="O18" i="45" s="1"/>
  <c r="X15" i="51"/>
  <c r="E16" i="45" s="1"/>
  <c r="X33" i="51"/>
  <c r="E35" i="45" s="1"/>
  <c r="W14" i="51"/>
  <c r="D15" i="45" s="1"/>
  <c r="X32" i="51"/>
  <c r="E34" i="45" s="1"/>
  <c r="Y12" i="51"/>
  <c r="F13" i="45" s="1"/>
  <c r="G13" i="45" s="1"/>
  <c r="Y30" i="51"/>
  <c r="F32" i="45" s="1"/>
  <c r="G32" i="45" s="1"/>
  <c r="X34" i="51"/>
  <c r="E36" i="45" s="1"/>
  <c r="Y36" i="51"/>
  <c r="F38" i="45" s="1"/>
  <c r="X35" i="51"/>
  <c r="E37" i="45" s="1"/>
  <c r="W33" i="51"/>
  <c r="D35" i="45" s="1"/>
  <c r="K13" i="45"/>
  <c r="K33" i="45"/>
  <c r="K36" i="45"/>
  <c r="K16" i="45"/>
  <c r="K32" i="45"/>
  <c r="K12" i="45"/>
  <c r="K34" i="45"/>
  <c r="K14" i="45"/>
  <c r="K15" i="45"/>
  <c r="K35" i="45"/>
  <c r="W31" i="51"/>
  <c r="D33" i="45" s="1"/>
  <c r="V35" i="51"/>
  <c r="C37" i="45" s="1"/>
  <c r="L14" i="43"/>
  <c r="L15" i="43"/>
  <c r="L16" i="43"/>
  <c r="L17" i="43"/>
  <c r="L18" i="43"/>
  <c r="D11" i="43"/>
  <c r="D12" i="43"/>
  <c r="D13" i="43"/>
  <c r="H38" i="45" l="1"/>
  <c r="I38" i="45" s="1"/>
  <c r="G38" i="45"/>
  <c r="G37" i="45"/>
  <c r="H18" i="45"/>
  <c r="I18" i="45" s="1"/>
  <c r="H17" i="45"/>
  <c r="I17" i="45" s="1"/>
  <c r="H37" i="45"/>
  <c r="I37" i="45" s="1"/>
  <c r="H12" i="45"/>
  <c r="I12" i="45" s="1"/>
  <c r="J12" i="45" s="1"/>
  <c r="H15" i="45"/>
  <c r="I15" i="45" s="1"/>
  <c r="H34" i="45"/>
  <c r="I34" i="45" s="1"/>
  <c r="J34" i="45" s="1"/>
  <c r="M34" i="45" s="1"/>
  <c r="N34" i="45" s="1"/>
  <c r="O34" i="45" s="1"/>
  <c r="L14" i="45"/>
  <c r="L34" i="45"/>
  <c r="L33" i="45"/>
  <c r="L13" i="45"/>
  <c r="L16" i="45"/>
  <c r="L36" i="45"/>
  <c r="L32" i="45"/>
  <c r="L12" i="45"/>
  <c r="L15" i="45"/>
  <c r="L35" i="45"/>
  <c r="J15" i="45"/>
  <c r="H33" i="45"/>
  <c r="H13" i="45"/>
  <c r="I13" i="45" s="1"/>
  <c r="H35" i="45"/>
  <c r="H32" i="45"/>
  <c r="H36" i="45"/>
  <c r="H14" i="45"/>
  <c r="H16" i="45"/>
  <c r="C8" i="45"/>
  <c r="R26" i="51"/>
  <c r="V26" i="51" s="1"/>
  <c r="C28" i="45" s="1"/>
  <c r="U29" i="51"/>
  <c r="Y29" i="51" s="1"/>
  <c r="F31" i="45" s="1"/>
  <c r="R29" i="51"/>
  <c r="V29" i="51" s="1"/>
  <c r="C31" i="45" s="1"/>
  <c r="S29" i="51"/>
  <c r="T29" i="51"/>
  <c r="H13" i="43"/>
  <c r="J13" i="43" s="1"/>
  <c r="K13" i="43" s="1"/>
  <c r="S26" i="51"/>
  <c r="W26" i="51" s="1"/>
  <c r="D28" i="45" s="1"/>
  <c r="T26" i="51"/>
  <c r="X26" i="51" s="1"/>
  <c r="E28" i="45" s="1"/>
  <c r="U26" i="51"/>
  <c r="Y26" i="51" s="1"/>
  <c r="F28" i="45" s="1"/>
  <c r="S27" i="51"/>
  <c r="W27" i="51" s="1"/>
  <c r="D29" i="45" s="1"/>
  <c r="T27" i="51"/>
  <c r="U27" i="51"/>
  <c r="Y27" i="51" s="1"/>
  <c r="F29" i="45" s="1"/>
  <c r="S28" i="51"/>
  <c r="W28" i="51" s="1"/>
  <c r="D30" i="45" s="1"/>
  <c r="T28" i="51"/>
  <c r="U28" i="51"/>
  <c r="Y28" i="51" s="1"/>
  <c r="F30" i="45" s="1"/>
  <c r="R27" i="51"/>
  <c r="V27" i="51" s="1"/>
  <c r="C29" i="45" s="1"/>
  <c r="R28" i="51"/>
  <c r="V28" i="51" s="1"/>
  <c r="C30" i="45" s="1"/>
  <c r="H11" i="43"/>
  <c r="J11" i="43" s="1"/>
  <c r="K11" i="43" s="1"/>
  <c r="H12" i="43"/>
  <c r="J12" i="43" s="1"/>
  <c r="K12" i="43" s="1"/>
  <c r="K30" i="45" s="1"/>
  <c r="H10" i="43"/>
  <c r="J10" i="43" s="1"/>
  <c r="U8" i="51"/>
  <c r="Y8" i="51" s="1"/>
  <c r="F9" i="45" s="1"/>
  <c r="S8" i="51"/>
  <c r="T8" i="51"/>
  <c r="U9" i="51"/>
  <c r="R9" i="51"/>
  <c r="V9" i="51" s="1"/>
  <c r="C10" i="45" s="1"/>
  <c r="S9" i="51"/>
  <c r="W9" i="51" s="1"/>
  <c r="D10" i="45" s="1"/>
  <c r="T9" i="51"/>
  <c r="X9" i="51" s="1"/>
  <c r="E10" i="45" s="1"/>
  <c r="U10" i="51"/>
  <c r="Y10" i="51" s="1"/>
  <c r="F11" i="45" s="1"/>
  <c r="R10" i="51"/>
  <c r="S10" i="51"/>
  <c r="W10" i="51" s="1"/>
  <c r="D11" i="45" s="1"/>
  <c r="T10" i="51"/>
  <c r="X10" i="51" s="1"/>
  <c r="E11" i="45" s="1"/>
  <c r="U7" i="51"/>
  <c r="Y7" i="51" s="1"/>
  <c r="F8" i="45" s="1"/>
  <c r="S7" i="51"/>
  <c r="W7" i="51" s="1"/>
  <c r="D8" i="45" s="1"/>
  <c r="T7" i="51"/>
  <c r="X7" i="51" s="1"/>
  <c r="E8" i="45" s="1"/>
  <c r="M12" i="43"/>
  <c r="M11" i="43"/>
  <c r="L10" i="43"/>
  <c r="L11" i="43"/>
  <c r="L9" i="45" s="1"/>
  <c r="L12" i="43"/>
  <c r="L10" i="45" s="1"/>
  <c r="L13" i="43"/>
  <c r="L11" i="45" s="1"/>
  <c r="J37" i="45" l="1"/>
  <c r="M37" i="45" s="1"/>
  <c r="N37" i="45" s="1"/>
  <c r="O37" i="45" s="1"/>
  <c r="J38" i="45"/>
  <c r="M38" i="45" s="1"/>
  <c r="N38" i="45" s="1"/>
  <c r="O38" i="45" s="1"/>
  <c r="G8" i="45"/>
  <c r="G31" i="45"/>
  <c r="J16" i="45"/>
  <c r="M16" i="45" s="1"/>
  <c r="N16" i="45" s="1"/>
  <c r="O16" i="45" s="1"/>
  <c r="I16" i="45"/>
  <c r="I32" i="45"/>
  <c r="J32" i="45" s="1"/>
  <c r="M32" i="45" s="1"/>
  <c r="N32" i="45" s="1"/>
  <c r="O32" i="45" s="1"/>
  <c r="G29" i="45"/>
  <c r="J14" i="45"/>
  <c r="M14" i="45" s="1"/>
  <c r="N14" i="45" s="1"/>
  <c r="O14" i="45" s="1"/>
  <c r="I14" i="45"/>
  <c r="J13" i="45"/>
  <c r="M13" i="45" s="1"/>
  <c r="N13" i="45" s="1"/>
  <c r="O13" i="45" s="1"/>
  <c r="G30" i="45"/>
  <c r="I36" i="45"/>
  <c r="J36" i="45" s="1"/>
  <c r="M36" i="45" s="1"/>
  <c r="N36" i="45" s="1"/>
  <c r="O36" i="45" s="1"/>
  <c r="I33" i="45"/>
  <c r="J33" i="45" s="1"/>
  <c r="M33" i="45" s="1"/>
  <c r="N33" i="45" s="1"/>
  <c r="O33" i="45" s="1"/>
  <c r="I35" i="45"/>
  <c r="J35" i="45" s="1"/>
  <c r="M35" i="45" s="1"/>
  <c r="N35" i="45" s="1"/>
  <c r="O35" i="45" s="1"/>
  <c r="G28" i="45"/>
  <c r="M12" i="45"/>
  <c r="N12" i="45" s="1"/>
  <c r="O12" i="45" s="1"/>
  <c r="L28" i="45"/>
  <c r="L8" i="45"/>
  <c r="M15" i="45"/>
  <c r="N15" i="45" s="1"/>
  <c r="O15" i="45" s="1"/>
  <c r="V10" i="51"/>
  <c r="C11" i="45" s="1"/>
  <c r="G11" i="45" s="1"/>
  <c r="K10" i="43"/>
  <c r="H28" i="45"/>
  <c r="I28" i="45" s="1"/>
  <c r="W8" i="51"/>
  <c r="D9" i="45" s="1"/>
  <c r="X8" i="51"/>
  <c r="E9" i="45" s="1"/>
  <c r="W29" i="51"/>
  <c r="D31" i="45" s="1"/>
  <c r="X28" i="51"/>
  <c r="E30" i="45" s="1"/>
  <c r="H30" i="45" s="1"/>
  <c r="I30" i="45" s="1"/>
  <c r="H8" i="45"/>
  <c r="I8" i="45" s="1"/>
  <c r="X27" i="51"/>
  <c r="E29" i="45" s="1"/>
  <c r="H29" i="45" s="1"/>
  <c r="I29" i="45" s="1"/>
  <c r="X29" i="51"/>
  <c r="E31" i="45" s="1"/>
  <c r="Y9" i="51"/>
  <c r="F10" i="45" s="1"/>
  <c r="G10" i="45" s="1"/>
  <c r="V8" i="51"/>
  <c r="C9" i="45" s="1"/>
  <c r="G9" i="45" s="1"/>
  <c r="K9" i="45"/>
  <c r="K29" i="45"/>
  <c r="K31" i="45"/>
  <c r="K11" i="45"/>
  <c r="L31" i="45"/>
  <c r="L30" i="45"/>
  <c r="K10" i="45"/>
  <c r="L29" i="45"/>
  <c r="J28" i="45" l="1"/>
  <c r="H11" i="45"/>
  <c r="I11" i="45" s="1"/>
  <c r="J30" i="45"/>
  <c r="M30" i="45" s="1"/>
  <c r="N30" i="45" s="1"/>
  <c r="O30" i="45" s="1"/>
  <c r="J8" i="45"/>
  <c r="J29" i="45"/>
  <c r="M29" i="45" s="1"/>
  <c r="H31" i="45"/>
  <c r="K8" i="45"/>
  <c r="K28" i="45"/>
  <c r="H10" i="45"/>
  <c r="H9" i="45"/>
  <c r="M28" i="45" l="1"/>
  <c r="N28" i="45" s="1"/>
  <c r="O28" i="45" s="1"/>
  <c r="J10" i="45"/>
  <c r="M10" i="45" s="1"/>
  <c r="N10" i="45" s="1"/>
  <c r="O10" i="45" s="1"/>
  <c r="I10" i="45"/>
  <c r="J9" i="45"/>
  <c r="M9" i="45" s="1"/>
  <c r="N9" i="45" s="1"/>
  <c r="O9" i="45" s="1"/>
  <c r="I9" i="45"/>
  <c r="I31" i="45"/>
  <c r="J31" i="45" s="1"/>
  <c r="M31" i="45" s="1"/>
  <c r="N31" i="45" s="1"/>
  <c r="O31" i="45" s="1"/>
  <c r="J11" i="45"/>
  <c r="M11" i="45" s="1"/>
  <c r="N11" i="45" s="1"/>
  <c r="O11" i="45" s="1"/>
  <c r="M8" i="45"/>
  <c r="N8" i="45" s="1"/>
  <c r="O8" i="45" s="1"/>
  <c r="N29" i="45"/>
  <c r="O29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Dr. Arlene</author>
  </authors>
  <commentList>
    <comment ref="J6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Volume = 3.1416*r2*h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Arlene Adviento-Borbe</author>
  </authors>
  <commentList>
    <comment ref="G4" authorId="0" shapeId="0" xr:uid="{00000000-0006-0000-0200-000001000000}">
      <text>
        <r>
          <rPr>
            <sz val="9"/>
            <color rgb="FF000000"/>
            <rFont val="Tahoma"/>
            <family val="2"/>
          </rPr>
          <t xml:space="preserve">Test statement if gas N2O concs are above GC detection limit;
</t>
        </r>
        <r>
          <rPr>
            <sz val="9"/>
            <color rgb="FF000000"/>
            <rFont val="Tahoma"/>
            <family val="2"/>
          </rPr>
          <t xml:space="preserve">PASS = &gt;0.0000183 mg/L
</t>
        </r>
        <r>
          <rPr>
            <sz val="9"/>
            <color rgb="FF000000"/>
            <rFont val="Tahoma"/>
            <family val="2"/>
          </rPr>
          <t>FAIL = &lt;0.0000183 mg/L</t>
        </r>
      </text>
    </comment>
    <comment ref="I4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Test statement if N2O is linear and reference CH4 is linear;
FAIL = R2 of Linest fn is &lt;0.90
LIN= CH4 and N2O R2 &gt;0.90
QUAD = N2O R2 &lt;0.90
</t>
        </r>
      </text>
    </comment>
    <comment ref="J4" authorId="0" shapeId="0" xr:uid="{00000000-0006-0000-0200-000003000000}">
      <text>
        <r>
          <rPr>
            <sz val="9"/>
            <color indexed="81"/>
            <rFont val="Tahoma"/>
            <family val="2"/>
          </rPr>
          <t>Determine the best slope function based on efflux data points and linearity tests.
0 = below detection
LIN = Linear slope
QUAD = Linest slope</t>
        </r>
      </text>
    </comment>
    <comment ref="G24" authorId="0" shapeId="0" xr:uid="{00000000-0006-0000-0200-000004000000}">
      <text>
        <r>
          <rPr>
            <sz val="9"/>
            <color indexed="81"/>
            <rFont val="Tahoma"/>
            <family val="2"/>
          </rPr>
          <t>Test statement if gas N2O concs are above GC detection limit;
PASS = &gt;0.0000183 mg/L
FAIL = &lt;0.0000183 mg/L</t>
        </r>
      </text>
    </comment>
    <comment ref="I24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Test statement if N2O is linear and reference CH4 is linear;
FAIL = R2 of Linest fn is &lt;0.90
LIN= CH4 and N2O R2 &gt;0.90
QUAD = N2O R2 &lt;0.90
</t>
        </r>
      </text>
    </comment>
    <comment ref="J24" authorId="0" shapeId="0" xr:uid="{00000000-0006-0000-0200-000006000000}">
      <text>
        <r>
          <rPr>
            <sz val="9"/>
            <color indexed="81"/>
            <rFont val="Tahoma"/>
            <family val="2"/>
          </rPr>
          <t>Determine the best slope function based on efflux data points and linearity tests.
0 = below detection
LIN = Linear slope
QUAD = Linest slope</t>
        </r>
      </text>
    </comment>
  </commentList>
</comments>
</file>

<file path=xl/sharedStrings.xml><?xml version="1.0" encoding="utf-8"?>
<sst xmlns="http://schemas.openxmlformats.org/spreadsheetml/2006/main" count="218" uniqueCount="80">
  <si>
    <t xml:space="preserve"> </t>
  </si>
  <si>
    <t>Chamber dimensions and parameter variables</t>
  </si>
  <si>
    <t>cm</t>
  </si>
  <si>
    <t>Calculation of chamber volume used in  field gas sampling</t>
  </si>
  <si>
    <t>Date of gas sampling:</t>
  </si>
  <si>
    <t>Lid</t>
  </si>
  <si>
    <t>Collar</t>
  </si>
  <si>
    <t>Collar Extension</t>
  </si>
  <si>
    <t>CHAMBER HEIGHT</t>
  </si>
  <si>
    <t>Chamber Radius</t>
  </si>
  <si>
    <t>Total chamber volume</t>
  </si>
  <si>
    <t>L</t>
  </si>
  <si>
    <t>TOTAL</t>
  </si>
  <si>
    <t>Replicate</t>
  </si>
  <si>
    <t>MEAN</t>
  </si>
  <si>
    <t>CH4</t>
  </si>
  <si>
    <t>N2O</t>
  </si>
  <si>
    <r>
      <t>cm</t>
    </r>
    <r>
      <rPr>
        <i/>
        <vertAlign val="superscript"/>
        <sz val="8"/>
        <rFont val="Arial"/>
        <family val="2"/>
      </rPr>
      <t>3</t>
    </r>
  </si>
  <si>
    <t>F   I   E   L   D           I   D</t>
  </si>
  <si>
    <r>
      <t>cm</t>
    </r>
    <r>
      <rPr>
        <vertAlign val="superscript"/>
        <sz val="8"/>
        <rFont val="Arial"/>
        <family val="2"/>
      </rPr>
      <t>2</t>
    </r>
  </si>
  <si>
    <t>Time interval, min</t>
  </si>
  <si>
    <t>Slope</t>
  </si>
  <si>
    <r>
      <t>N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 xml:space="preserve">O efflux </t>
    </r>
  </si>
  <si>
    <t>Headspace  volume, L</t>
  </si>
  <si>
    <t>0-5 cm soil depth</t>
  </si>
  <si>
    <t>T E M P E R A T U R E</t>
  </si>
  <si>
    <r>
      <t xml:space="preserve">Mean Soil Temperature, 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</t>
    </r>
  </si>
  <si>
    <t>5-15 cm soil depth</t>
  </si>
  <si>
    <r>
      <t xml:space="preserve">Air Temperature, 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</t>
    </r>
  </si>
  <si>
    <r>
      <t xml:space="preserve">
</t>
    </r>
    <r>
      <rPr>
        <i/>
        <sz val="8"/>
        <rFont val="Arial"/>
        <family val="2"/>
      </rPr>
      <t>mg m</t>
    </r>
    <r>
      <rPr>
        <i/>
        <vertAlign val="superscript"/>
        <sz val="8"/>
        <rFont val="Arial"/>
        <family val="2"/>
      </rPr>
      <t>-2</t>
    </r>
    <r>
      <rPr>
        <i/>
        <sz val="8"/>
        <rFont val="Arial"/>
        <family val="2"/>
      </rPr>
      <t xml:space="preserve"> min</t>
    </r>
    <r>
      <rPr>
        <i/>
        <vertAlign val="superscript"/>
        <sz val="8"/>
        <rFont val="Arial"/>
        <family val="2"/>
      </rPr>
      <t>-1</t>
    </r>
  </si>
  <si>
    <r>
      <t xml:space="preserve">
</t>
    </r>
    <r>
      <rPr>
        <i/>
        <sz val="8"/>
        <rFont val="Arial"/>
        <family val="2"/>
      </rPr>
      <t>mg m</t>
    </r>
    <r>
      <rPr>
        <i/>
        <vertAlign val="superscript"/>
        <sz val="8"/>
        <rFont val="Arial"/>
        <family val="2"/>
      </rPr>
      <t>-2</t>
    </r>
    <r>
      <rPr>
        <i/>
        <sz val="8"/>
        <rFont val="Arial"/>
        <family val="2"/>
      </rPr>
      <t xml:space="preserve"> hr</t>
    </r>
    <r>
      <rPr>
        <i/>
        <vertAlign val="superscript"/>
        <sz val="8"/>
        <rFont val="Arial"/>
        <family val="2"/>
      </rPr>
      <t>-1</t>
    </r>
  </si>
  <si>
    <r>
      <t>Area covered, m</t>
    </r>
    <r>
      <rPr>
        <b/>
        <i/>
        <vertAlign val="superscript"/>
        <sz val="8"/>
        <rFont val="Arial"/>
        <family val="2"/>
      </rPr>
      <t>2</t>
    </r>
  </si>
  <si>
    <t>15.24 cm = 6"</t>
  </si>
  <si>
    <t>91.44 cm = 3'</t>
  </si>
  <si>
    <r>
      <t>N</t>
    </r>
    <r>
      <rPr>
        <b/>
        <i/>
        <vertAlign val="subscript"/>
        <sz val="8"/>
        <rFont val="Arial"/>
        <family val="2"/>
      </rPr>
      <t>2</t>
    </r>
    <r>
      <rPr>
        <b/>
        <i/>
        <sz val="8"/>
        <rFont val="Arial"/>
        <family val="2"/>
      </rPr>
      <t>O concentration, mg L</t>
    </r>
    <r>
      <rPr>
        <b/>
        <i/>
        <vertAlign val="superscript"/>
        <sz val="8"/>
        <rFont val="Arial"/>
        <family val="2"/>
      </rPr>
      <t>-1</t>
    </r>
  </si>
  <si>
    <t>RSQ_lin</t>
  </si>
  <si>
    <t>Detection test</t>
  </si>
  <si>
    <t>Floodwater height</t>
  </si>
  <si>
    <r>
      <t xml:space="preserve">
</t>
    </r>
    <r>
      <rPr>
        <i/>
        <sz val="8"/>
        <rFont val="Arial"/>
        <family val="2"/>
      </rPr>
      <t>g ha</t>
    </r>
    <r>
      <rPr>
        <i/>
        <vertAlign val="superscript"/>
        <sz val="8"/>
        <rFont val="Arial"/>
        <family val="2"/>
      </rPr>
      <t>-1</t>
    </r>
    <r>
      <rPr>
        <i/>
        <sz val="8"/>
        <rFont val="Arial"/>
        <family val="2"/>
      </rPr>
      <t xml:space="preserve"> d</t>
    </r>
    <r>
      <rPr>
        <i/>
        <vertAlign val="superscript"/>
        <sz val="8"/>
        <rFont val="Arial"/>
        <family val="2"/>
      </rPr>
      <t>-1</t>
    </r>
  </si>
  <si>
    <t>Plot</t>
  </si>
  <si>
    <t>Area covered</t>
  </si>
  <si>
    <t>Soil Temperature</t>
  </si>
  <si>
    <r>
      <t>N2O CONCENTRATION, mg L</t>
    </r>
    <r>
      <rPr>
        <vertAlign val="superscript"/>
        <sz val="8"/>
        <rFont val="Arial"/>
        <family val="2"/>
      </rPr>
      <t>-1</t>
    </r>
  </si>
  <si>
    <r>
      <t>CH4 CONCENTRATION, mg L</t>
    </r>
    <r>
      <rPr>
        <vertAlign val="superscript"/>
        <sz val="8"/>
        <rFont val="Arial"/>
        <family val="2"/>
      </rPr>
      <t>-1</t>
    </r>
  </si>
  <si>
    <t>Linearity test</t>
  </si>
  <si>
    <r>
      <t>CH4 concentration, mg L</t>
    </r>
    <r>
      <rPr>
        <b/>
        <i/>
        <vertAlign val="superscript"/>
        <sz val="8"/>
        <rFont val="Arial"/>
        <family val="2"/>
      </rPr>
      <t>-1</t>
    </r>
  </si>
  <si>
    <t xml:space="preserve">CH4 efflux </t>
  </si>
  <si>
    <t>Volume of 1 mol of air inside chamber at sampling, L</t>
  </si>
  <si>
    <t>CONCENTRATION, ppm (mol/mol)</t>
  </si>
  <si>
    <t>Floodwater height, cm</t>
  </si>
  <si>
    <t xml:space="preserve">Obs: </t>
  </si>
  <si>
    <t>30.48 cm = 1'</t>
  </si>
  <si>
    <t>60.96 cm = 2'</t>
  </si>
  <si>
    <t>Site</t>
  </si>
  <si>
    <t>Date</t>
  </si>
  <si>
    <t>Time</t>
  </si>
  <si>
    <t>Copy data here</t>
  </si>
  <si>
    <t>CH4 (ppm)</t>
  </si>
  <si>
    <t>N2O (ppm)</t>
  </si>
  <si>
    <t>Collar to water, cm (headspace height)</t>
  </si>
  <si>
    <t>FIELD ID</t>
  </si>
  <si>
    <t>Trt</t>
  </si>
  <si>
    <t>RES</t>
  </si>
  <si>
    <t>F1</t>
  </si>
  <si>
    <t>F2</t>
  </si>
  <si>
    <t>F3</t>
  </si>
  <si>
    <t>Extra</t>
  </si>
  <si>
    <t>K1</t>
  </si>
  <si>
    <t>101</t>
  </si>
  <si>
    <t>102</t>
  </si>
  <si>
    <t>103</t>
  </si>
  <si>
    <t>104</t>
  </si>
  <si>
    <t>105</t>
  </si>
  <si>
    <t>106</t>
  </si>
  <si>
    <t>201</t>
  </si>
  <si>
    <t>202</t>
  </si>
  <si>
    <t>203</t>
  </si>
  <si>
    <t>204</t>
  </si>
  <si>
    <t>205</t>
  </si>
  <si>
    <t>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</si>
</sst>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E+00"/>
    <numFmt numFmtId="168" formatCode="0.00000"/>
    <numFmt numFmtId="169" formatCode="[$-409]d\-mmm;@"/>
  </numFmts>
  <fonts count="2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vertAlign val="superscript"/>
      <sz val="8"/>
      <name val="Arial"/>
      <family val="2"/>
    </font>
    <font>
      <b/>
      <i/>
      <sz val="8"/>
      <name val="Arial"/>
      <family val="2"/>
    </font>
    <font>
      <b/>
      <i/>
      <vertAlign val="superscript"/>
      <sz val="8"/>
      <name val="Arial"/>
      <family val="2"/>
    </font>
    <font>
      <b/>
      <sz val="8"/>
      <color indexed="12"/>
      <name val="Arial"/>
      <family val="2"/>
    </font>
    <font>
      <sz val="9"/>
      <color indexed="81"/>
      <name val="Tahoma"/>
      <family val="2"/>
    </font>
    <font>
      <b/>
      <i/>
      <vertAlign val="subscript"/>
      <sz val="8"/>
      <name val="Arial"/>
      <family val="2"/>
    </font>
    <font>
      <b/>
      <vertAlign val="subscript"/>
      <sz val="8"/>
      <name val="Arial"/>
      <family val="2"/>
    </font>
    <font>
      <b/>
      <i/>
      <sz val="8"/>
      <color theme="7" tint="-0.499984740745262"/>
      <name val="Arial"/>
      <family val="2"/>
    </font>
    <font>
      <b/>
      <i/>
      <sz val="8"/>
      <color rgb="FF002060"/>
      <name val="Calibri"/>
      <family val="2"/>
      <scheme val="minor"/>
    </font>
    <font>
      <b/>
      <sz val="10"/>
      <color rgb="FF002060"/>
      <name val="Arial"/>
      <family val="2"/>
    </font>
    <font>
      <sz val="8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7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4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11" fillId="0" borderId="0" xfId="4" applyFont="1"/>
    <xf numFmtId="0" fontId="15" fillId="0" borderId="0" xfId="1" applyFont="1"/>
    <xf numFmtId="0" fontId="7" fillId="0" borderId="0" xfId="1" applyFont="1"/>
    <xf numFmtId="0" fontId="7" fillId="0" borderId="0" xfId="5"/>
    <xf numFmtId="0" fontId="6" fillId="0" borderId="0" xfId="1" applyFont="1" applyAlignment="1">
      <alignment horizontal="center"/>
    </xf>
    <xf numFmtId="0" fontId="7" fillId="4" borderId="0" xfId="1" applyFont="1" applyFill="1" applyAlignment="1">
      <alignment wrapText="1"/>
    </xf>
    <xf numFmtId="0" fontId="7" fillId="5" borderId="0" xfId="1" applyFont="1" applyFill="1"/>
    <xf numFmtId="0" fontId="7" fillId="0" borderId="0" xfId="1" applyFont="1" applyAlignment="1">
      <alignment horizontal="center"/>
    </xf>
    <xf numFmtId="0" fontId="7" fillId="3" borderId="0" xfId="1" applyFont="1" applyFill="1"/>
    <xf numFmtId="0" fontId="7" fillId="4" borderId="0" xfId="1" applyFont="1" applyFill="1"/>
    <xf numFmtId="0" fontId="4" fillId="3" borderId="0" xfId="1" applyFont="1" applyFill="1" applyAlignment="1">
      <alignment horizontal="center"/>
    </xf>
    <xf numFmtId="0" fontId="4" fillId="4" borderId="0" xfId="1" applyFont="1" applyFill="1" applyAlignment="1">
      <alignment horizontal="center"/>
    </xf>
    <xf numFmtId="0" fontId="4" fillId="5" borderId="0" xfId="1" applyFont="1" applyFill="1" applyAlignment="1">
      <alignment horizontal="center"/>
    </xf>
    <xf numFmtId="0" fontId="9" fillId="0" borderId="0" xfId="1" applyFont="1" applyAlignment="1">
      <alignment horizontal="center"/>
    </xf>
    <xf numFmtId="0" fontId="7" fillId="3" borderId="0" xfId="1" applyFont="1" applyFill="1" applyAlignment="1">
      <alignment horizontal="center"/>
    </xf>
    <xf numFmtId="1" fontId="7" fillId="0" borderId="0" xfId="1" applyNumberFormat="1" applyFont="1" applyAlignment="1">
      <alignment horizontal="center"/>
    </xf>
    <xf numFmtId="0" fontId="16" fillId="0" borderId="0" xfId="0" applyFont="1" applyAlignment="1">
      <alignment horizontal="right"/>
    </xf>
    <xf numFmtId="165" fontId="7" fillId="0" borderId="0" xfId="0" applyNumberFormat="1" applyFont="1"/>
    <xf numFmtId="165" fontId="0" fillId="0" borderId="0" xfId="0" applyNumberFormat="1" applyAlignment="1">
      <alignment horizontal="center"/>
    </xf>
    <xf numFmtId="0" fontId="0" fillId="7" borderId="0" xfId="0" applyFill="1"/>
    <xf numFmtId="0" fontId="1" fillId="0" borderId="0" xfId="0" applyFont="1"/>
    <xf numFmtId="0" fontId="6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wrapText="1"/>
    </xf>
    <xf numFmtId="0" fontId="1" fillId="0" borderId="0" xfId="3"/>
    <xf numFmtId="0" fontId="2" fillId="0" borderId="0" xfId="2" applyFont="1" applyAlignment="1">
      <alignment horizontal="center"/>
    </xf>
    <xf numFmtId="164" fontId="2" fillId="0" borderId="0" xfId="2" applyNumberFormat="1" applyFont="1" applyAlignment="1">
      <alignment horizontal="center"/>
    </xf>
    <xf numFmtId="0" fontId="2" fillId="7" borderId="0" xfId="3" applyFont="1" applyFill="1" applyAlignment="1">
      <alignment horizontal="center"/>
    </xf>
    <xf numFmtId="165" fontId="7" fillId="0" borderId="0" xfId="1" applyNumberFormat="1" applyFont="1" applyAlignment="1">
      <alignment horizontal="center"/>
    </xf>
    <xf numFmtId="2" fontId="7" fillId="0" borderId="0" xfId="1" applyNumberFormat="1" applyFont="1" applyAlignment="1">
      <alignment horizontal="center"/>
    </xf>
    <xf numFmtId="0" fontId="2" fillId="0" borderId="0" xfId="1" applyFont="1"/>
    <xf numFmtId="0" fontId="2" fillId="0" borderId="0" xfId="5" applyFont="1"/>
    <xf numFmtId="165" fontId="2" fillId="0" borderId="0" xfId="2" applyNumberFormat="1" applyFont="1" applyAlignment="1">
      <alignment horizontal="center"/>
    </xf>
    <xf numFmtId="0" fontId="2" fillId="0" borderId="0" xfId="2" applyFont="1"/>
    <xf numFmtId="0" fontId="2" fillId="7" borderId="0" xfId="3" applyFont="1" applyFill="1" applyAlignment="1">
      <alignment horizontal="center" wrapText="1"/>
    </xf>
    <xf numFmtId="0" fontId="18" fillId="9" borderId="0" xfId="0" applyFont="1" applyFill="1" applyAlignment="1">
      <alignment horizontal="center"/>
    </xf>
    <xf numFmtId="0" fontId="0" fillId="8" borderId="0" xfId="0" applyFill="1"/>
    <xf numFmtId="0" fontId="6" fillId="8" borderId="0" xfId="0" applyFont="1" applyFill="1" applyAlignment="1">
      <alignment vertical="center"/>
    </xf>
    <xf numFmtId="0" fontId="9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wrapText="1"/>
    </xf>
    <xf numFmtId="0" fontId="9" fillId="7" borderId="2" xfId="0" applyFont="1" applyFill="1" applyBorder="1" applyAlignment="1">
      <alignment horizontal="center" vertical="center" wrapText="1"/>
    </xf>
    <xf numFmtId="0" fontId="2" fillId="0" borderId="0" xfId="2" applyFont="1" applyAlignment="1">
      <alignment horizontal="left"/>
    </xf>
    <xf numFmtId="0" fontId="9" fillId="0" borderId="0" xfId="1" applyFont="1"/>
    <xf numFmtId="0" fontId="7" fillId="2" borderId="0" xfId="1" applyFont="1" applyFill="1" applyAlignment="1">
      <alignment horizontal="center"/>
    </xf>
    <xf numFmtId="0" fontId="7" fillId="10" borderId="0" xfId="1" applyFont="1" applyFill="1"/>
    <xf numFmtId="0" fontId="2" fillId="10" borderId="0" xfId="1" applyFont="1" applyFill="1" applyAlignment="1">
      <alignment horizontal="center"/>
    </xf>
    <xf numFmtId="166" fontId="0" fillId="0" borderId="0" xfId="0" applyNumberFormat="1"/>
    <xf numFmtId="0" fontId="2" fillId="0" borderId="0" xfId="1" applyFon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0" fillId="12" borderId="0" xfId="0" applyFill="1"/>
    <xf numFmtId="167" fontId="7" fillId="0" borderId="0" xfId="0" applyNumberFormat="1" applyFont="1"/>
    <xf numFmtId="0" fontId="9" fillId="8" borderId="2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6" fillId="3" borderId="0" xfId="1" applyFont="1" applyFill="1" applyAlignment="1">
      <alignment horizontal="center"/>
    </xf>
    <xf numFmtId="0" fontId="7" fillId="2" borderId="0" xfId="1" applyFont="1" applyFill="1" applyAlignment="1">
      <alignment horizontal="center" vertical="top" wrapText="1"/>
    </xf>
    <xf numFmtId="0" fontId="9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165" fontId="7" fillId="0" borderId="0" xfId="1" applyNumberFormat="1" applyFont="1"/>
    <xf numFmtId="0" fontId="2" fillId="2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2" fillId="10" borderId="0" xfId="1" applyFont="1" applyFill="1" applyAlignment="1">
      <alignment horizontal="center" vertical="center" wrapText="1"/>
    </xf>
    <xf numFmtId="0" fontId="6" fillId="0" borderId="0" xfId="2" applyFont="1" applyAlignment="1">
      <alignment horizontal="center"/>
    </xf>
    <xf numFmtId="0" fontId="2" fillId="0" borderId="0" xfId="3" applyFont="1" applyAlignment="1">
      <alignment horizontal="center"/>
    </xf>
    <xf numFmtId="0" fontId="2" fillId="0" borderId="0" xfId="3" applyFont="1" applyAlignment="1">
      <alignment horizontal="center" wrapText="1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5" fontId="21" fillId="0" borderId="0" xfId="0" applyNumberFormat="1" applyFont="1" applyAlignment="1">
      <alignment horizontal="center"/>
    </xf>
    <xf numFmtId="165" fontId="0" fillId="0" borderId="0" xfId="0" applyNumberFormat="1"/>
    <xf numFmtId="168" fontId="21" fillId="0" borderId="0" xfId="0" applyNumberFormat="1" applyFont="1" applyAlignment="1">
      <alignment horizontal="center"/>
    </xf>
    <xf numFmtId="0" fontId="2" fillId="15" borderId="0" xfId="3" applyFont="1" applyFill="1" applyAlignment="1">
      <alignment horizontal="center" wrapText="1"/>
    </xf>
    <xf numFmtId="0" fontId="2" fillId="15" borderId="0" xfId="3" applyFont="1" applyFill="1" applyAlignment="1">
      <alignment horizontal="center"/>
    </xf>
    <xf numFmtId="0" fontId="0" fillId="15" borderId="0" xfId="0" applyFill="1"/>
    <xf numFmtId="164" fontId="2" fillId="0" borderId="1" xfId="2" applyNumberFormat="1" applyFont="1" applyBorder="1" applyAlignment="1">
      <alignment horizontal="center"/>
    </xf>
    <xf numFmtId="16" fontId="7" fillId="6" borderId="1" xfId="1" applyNumberFormat="1" applyFont="1" applyFill="1" applyBorder="1"/>
    <xf numFmtId="2" fontId="2" fillId="6" borderId="1" xfId="2" applyNumberFormat="1" applyFont="1" applyFill="1" applyBorder="1" applyAlignment="1">
      <alignment horizontal="center"/>
    </xf>
    <xf numFmtId="0" fontId="2" fillId="6" borderId="1" xfId="2" applyFont="1" applyFill="1" applyBorder="1"/>
    <xf numFmtId="0" fontId="2" fillId="17" borderId="0" xfId="3" applyFont="1" applyFill="1" applyAlignment="1">
      <alignment horizontal="center"/>
    </xf>
    <xf numFmtId="0" fontId="2" fillId="0" borderId="1" xfId="1" applyFont="1" applyBorder="1"/>
    <xf numFmtId="0" fontId="9" fillId="10" borderId="0" xfId="1" applyFont="1" applyFill="1" applyAlignment="1">
      <alignment horizontal="center"/>
    </xf>
    <xf numFmtId="0" fontId="7" fillId="6" borderId="1" xfId="1" applyFont="1" applyFill="1" applyBorder="1"/>
    <xf numFmtId="2" fontId="7" fillId="6" borderId="1" xfId="1" applyNumberFormat="1" applyFont="1" applyFill="1" applyBorder="1" applyAlignment="1">
      <alignment horizontal="center"/>
    </xf>
    <xf numFmtId="0" fontId="2" fillId="6" borderId="3" xfId="2" applyFont="1" applyFill="1" applyBorder="1"/>
    <xf numFmtId="0" fontId="22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164" fontId="1" fillId="0" borderId="0" xfId="3" applyNumberFormat="1"/>
    <xf numFmtId="169" fontId="0" fillId="0" borderId="0" xfId="0" applyNumberFormat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0" xfId="3" applyNumberFormat="1" applyAlignment="1">
      <alignment horizontal="center"/>
    </xf>
    <xf numFmtId="0" fontId="6" fillId="7" borderId="0" xfId="1" applyFont="1" applyFill="1" applyAlignment="1">
      <alignment horizontal="center"/>
    </xf>
    <xf numFmtId="0" fontId="6" fillId="8" borderId="0" xfId="1" applyFont="1" applyFill="1" applyAlignment="1">
      <alignment horizontal="center"/>
    </xf>
    <xf numFmtId="0" fontId="2" fillId="6" borderId="1" xfId="2" applyFont="1" applyFill="1" applyBorder="1" applyAlignment="1">
      <alignment horizontal="right"/>
    </xf>
    <xf numFmtId="0" fontId="2" fillId="6" borderId="1" xfId="3" applyFont="1" applyFill="1" applyBorder="1"/>
    <xf numFmtId="0" fontId="2" fillId="6" borderId="1" xfId="3" applyFont="1" applyFill="1" applyBorder="1" applyAlignment="1">
      <alignment horizontal="right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9" fillId="0" borderId="0" xfId="1" applyFont="1" applyAlignment="1">
      <alignment horizontal="center" vertical="center"/>
    </xf>
    <xf numFmtId="0" fontId="9" fillId="10" borderId="0" xfId="1" applyFont="1" applyFill="1" applyAlignment="1">
      <alignment horizontal="center" vertical="center"/>
    </xf>
    <xf numFmtId="0" fontId="9" fillId="10" borderId="0" xfId="3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9" fontId="1" fillId="0" borderId="1" xfId="3" applyNumberFormat="1" applyBorder="1" applyAlignment="1">
      <alignment horizontal="center"/>
    </xf>
    <xf numFmtId="0" fontId="1" fillId="0" borderId="1" xfId="3" applyBorder="1"/>
    <xf numFmtId="0" fontId="6" fillId="0" borderId="1" xfId="2" applyFont="1" applyBorder="1" applyAlignment="1">
      <alignment horizontal="center"/>
    </xf>
    <xf numFmtId="0" fontId="2" fillId="6" borderId="1" xfId="2" applyFont="1" applyFill="1" applyBorder="1" applyAlignment="1">
      <alignment horizontal="center" vertical="center"/>
    </xf>
    <xf numFmtId="2" fontId="2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2" fillId="6" borderId="1" xfId="1" applyFont="1" applyFill="1" applyBorder="1"/>
    <xf numFmtId="0" fontId="2" fillId="0" borderId="0" xfId="3" applyFont="1"/>
    <xf numFmtId="0" fontId="22" fillId="3" borderId="0" xfId="1" applyFon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5" fontId="21" fillId="3" borderId="0" xfId="0" applyNumberFormat="1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8" fontId="21" fillId="3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/>
    <xf numFmtId="0" fontId="6" fillId="18" borderId="0" xfId="1" applyFont="1" applyFill="1" applyAlignment="1">
      <alignment horizontal="center"/>
    </xf>
    <xf numFmtId="0" fontId="0" fillId="19" borderId="0" xfId="0" applyFill="1"/>
    <xf numFmtId="0" fontId="0" fillId="20" borderId="0" xfId="0" applyFill="1"/>
    <xf numFmtId="0" fontId="2" fillId="6" borderId="5" xfId="2" applyFont="1" applyFill="1" applyBorder="1"/>
    <xf numFmtId="2" fontId="2" fillId="6" borderId="4" xfId="2" applyNumberFormat="1" applyFont="1" applyFill="1" applyBorder="1" applyAlignment="1">
      <alignment horizontal="center"/>
    </xf>
    <xf numFmtId="0" fontId="2" fillId="6" borderId="4" xfId="2" applyFont="1" applyFill="1" applyBorder="1" applyAlignment="1">
      <alignment horizontal="center"/>
    </xf>
    <xf numFmtId="0" fontId="7" fillId="6" borderId="4" xfId="1" applyFont="1" applyFill="1" applyBorder="1"/>
    <xf numFmtId="0" fontId="0" fillId="21" borderId="0" xfId="0" applyFill="1"/>
    <xf numFmtId="0" fontId="0" fillId="19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/>
    </xf>
    <xf numFmtId="0" fontId="22" fillId="14" borderId="0" xfId="1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6" fillId="7" borderId="0" xfId="1" applyFont="1" applyFill="1" applyAlignment="1">
      <alignment horizontal="center"/>
    </xf>
    <xf numFmtId="0" fontId="2" fillId="15" borderId="0" xfId="3" applyFont="1" applyFill="1" applyAlignment="1">
      <alignment horizontal="center" wrapText="1"/>
    </xf>
    <xf numFmtId="0" fontId="2" fillId="7" borderId="0" xfId="3" applyFont="1" applyFill="1" applyAlignment="1">
      <alignment horizontal="center" wrapText="1"/>
    </xf>
    <xf numFmtId="0" fontId="6" fillId="15" borderId="0" xfId="1" applyFont="1" applyFill="1" applyAlignment="1">
      <alignment horizontal="center"/>
    </xf>
    <xf numFmtId="0" fontId="7" fillId="15" borderId="0" xfId="0" applyFont="1" applyFill="1" applyAlignment="1">
      <alignment horizontal="center" vertical="center"/>
    </xf>
    <xf numFmtId="0" fontId="2" fillId="0" borderId="0" xfId="1" applyFont="1" applyAlignment="1">
      <alignment horizontal="center" wrapText="1"/>
    </xf>
    <xf numFmtId="0" fontId="9" fillId="11" borderId="0" xfId="1" applyFont="1" applyFill="1" applyAlignment="1">
      <alignment horizontal="center"/>
    </xf>
    <xf numFmtId="0" fontId="6" fillId="3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 wrapText="1"/>
    </xf>
    <xf numFmtId="0" fontId="9" fillId="10" borderId="0" xfId="1" applyFont="1" applyFill="1" applyAlignment="1">
      <alignment horizontal="center"/>
    </xf>
    <xf numFmtId="0" fontId="6" fillId="17" borderId="0" xfId="2" applyFont="1" applyFill="1" applyAlignment="1">
      <alignment horizontal="center"/>
    </xf>
    <xf numFmtId="0" fontId="2" fillId="17" borderId="0" xfId="3" applyFont="1" applyFill="1" applyAlignment="1">
      <alignment horizontal="center" wrapText="1"/>
    </xf>
    <xf numFmtId="0" fontId="1" fillId="0" borderId="0" xfId="3" applyAlignment="1">
      <alignment horizontal="center"/>
    </xf>
    <xf numFmtId="0" fontId="9" fillId="7" borderId="0" xfId="0" applyFont="1" applyFill="1" applyAlignment="1">
      <alignment horizontal="center"/>
    </xf>
    <xf numFmtId="0" fontId="18" fillId="9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wrapText="1"/>
    </xf>
    <xf numFmtId="0" fontId="9" fillId="7" borderId="0" xfId="0" applyFont="1" applyFill="1" applyAlignment="1">
      <alignment horizontal="center" wrapText="1"/>
    </xf>
    <xf numFmtId="0" fontId="17" fillId="14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wrapText="1"/>
    </xf>
    <xf numFmtId="0" fontId="9" fillId="8" borderId="0" xfId="0" applyFont="1" applyFill="1" applyAlignment="1">
      <alignment horizontal="center" wrapText="1"/>
    </xf>
    <xf numFmtId="0" fontId="6" fillId="8" borderId="0" xfId="1" applyFont="1" applyFill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6" fillId="0" borderId="0" xfId="1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2" applyFont="1" applyFill="1" applyAlignment="1">
      <alignment horizontal="center"/>
    </xf>
    <xf numFmtId="0" fontId="2" fillId="0" borderId="0" xfId="1" applyFont="1" applyFill="1" applyAlignment="1">
      <alignment horizontal="center"/>
    </xf>
    <xf numFmtId="0" fontId="7" fillId="0" borderId="1" xfId="1" applyFont="1" applyFill="1" applyBorder="1"/>
    <xf numFmtId="2" fontId="7" fillId="0" borderId="0" xfId="1" applyNumberFormat="1" applyFont="1" applyFill="1" applyAlignment="1">
      <alignment horizontal="center"/>
    </xf>
    <xf numFmtId="1" fontId="7" fillId="0" borderId="0" xfId="1" applyNumberFormat="1" applyFont="1" applyFill="1" applyAlignment="1">
      <alignment horizontal="center"/>
    </xf>
    <xf numFmtId="165" fontId="7" fillId="0" borderId="0" xfId="1" applyNumberFormat="1" applyFont="1" applyFill="1" applyAlignment="1">
      <alignment horizontal="center"/>
    </xf>
    <xf numFmtId="164" fontId="2" fillId="0" borderId="0" xfId="2" applyNumberFormat="1" applyFont="1" applyFill="1" applyAlignment="1">
      <alignment horizontal="center"/>
    </xf>
    <xf numFmtId="0" fontId="7" fillId="0" borderId="0" xfId="1" applyFont="1" applyFill="1" applyAlignment="1">
      <alignment horizontal="center"/>
    </xf>
    <xf numFmtId="0" fontId="7" fillId="0" borderId="0" xfId="1" applyFont="1" applyFill="1"/>
  </cellXfs>
  <cellStyles count="8">
    <cellStyle name="Followed Hyperlink" xfId="7" builtinId="9" hidden="1"/>
    <cellStyle name="Hyperlink" xfId="6" builtinId="8" hidden="1"/>
    <cellStyle name="Normal" xfId="0" builtinId="0"/>
    <cellStyle name="Normal 2" xfId="1" xr:uid="{00000000-0005-0000-0000-000003000000}"/>
    <cellStyle name="Normal 2 2" xfId="2" xr:uid="{00000000-0005-0000-0000-000004000000}"/>
    <cellStyle name="Normal 3" xfId="3" xr:uid="{00000000-0005-0000-0000-000005000000}"/>
    <cellStyle name="Normal_Hunter fluxes template" xfId="4" xr:uid="{00000000-0005-0000-0000-000006000000}"/>
    <cellStyle name="Normal_Hunter fluxes template 2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rgb="FFFFFF00"/>
  </sheetPr>
  <dimension ref="A1:V73"/>
  <sheetViews>
    <sheetView zoomScale="150" zoomScaleNormal="150" zoomScalePageLayoutView="150" workbookViewId="0">
      <selection activeCell="A10" sqref="A10:A21"/>
    </sheetView>
  </sheetViews>
  <sheetFormatPr defaultColWidth="8.7109375" defaultRowHeight="11.25" x14ac:dyDescent="0.2"/>
  <cols>
    <col min="1" max="1" width="13.42578125" style="9" customWidth="1"/>
    <col min="2" max="2" width="10" style="9" customWidth="1"/>
    <col min="3" max="3" width="9.7109375" style="9" customWidth="1"/>
    <col min="4" max="5" width="8.7109375" style="9" customWidth="1"/>
    <col min="6" max="10" width="8.7109375" style="9"/>
    <col min="11" max="11" width="7" style="9" bestFit="1" customWidth="1"/>
    <col min="12" max="12" width="8.28515625" style="9" bestFit="1" customWidth="1"/>
    <col min="13" max="13" width="10.7109375" style="9" bestFit="1" customWidth="1"/>
    <col min="14" max="14" width="11" style="9" customWidth="1"/>
    <col min="15" max="16384" width="8.7109375" style="9"/>
  </cols>
  <sheetData>
    <row r="1" spans="1:17" x14ac:dyDescent="0.2">
      <c r="A1" s="8" t="s">
        <v>3</v>
      </c>
    </row>
    <row r="2" spans="1:17" ht="10.9" customHeight="1" x14ac:dyDescent="0.2">
      <c r="A2" s="7" t="s">
        <v>1</v>
      </c>
    </row>
    <row r="3" spans="1:17" x14ac:dyDescent="0.2">
      <c r="A3" s="9" t="s">
        <v>4</v>
      </c>
      <c r="B3" s="79">
        <v>44743</v>
      </c>
    </row>
    <row r="4" spans="1:17" x14ac:dyDescent="0.2">
      <c r="A4" s="36" t="s">
        <v>32</v>
      </c>
      <c r="B4" s="1" t="s">
        <v>51</v>
      </c>
      <c r="C4" s="36" t="s">
        <v>52</v>
      </c>
      <c r="D4" s="36" t="s">
        <v>33</v>
      </c>
    </row>
    <row r="5" spans="1:17" x14ac:dyDescent="0.2">
      <c r="A5" s="37"/>
      <c r="C5" s="10"/>
    </row>
    <row r="6" spans="1:17" ht="37.15" customHeight="1" x14ac:dyDescent="0.2">
      <c r="C6" s="148" t="s">
        <v>8</v>
      </c>
      <c r="D6" s="148"/>
      <c r="E6" s="148"/>
      <c r="F6" s="148"/>
      <c r="G6" s="148"/>
      <c r="H6" s="148"/>
      <c r="I6" s="65" t="s">
        <v>9</v>
      </c>
      <c r="J6" s="149" t="s">
        <v>10</v>
      </c>
      <c r="K6" s="149"/>
      <c r="L6" s="64" t="s">
        <v>40</v>
      </c>
      <c r="M6" s="66" t="s">
        <v>37</v>
      </c>
      <c r="Q6" s="146"/>
    </row>
    <row r="7" spans="1:17" x14ac:dyDescent="0.2">
      <c r="A7" s="11" t="s">
        <v>39</v>
      </c>
      <c r="B7" s="11" t="s">
        <v>61</v>
      </c>
      <c r="C7" s="59" t="s">
        <v>5</v>
      </c>
      <c r="D7" s="59" t="s">
        <v>6</v>
      </c>
      <c r="E7" s="59" t="s">
        <v>7</v>
      </c>
      <c r="F7" s="59"/>
      <c r="G7" s="59"/>
      <c r="H7" s="59" t="s">
        <v>12</v>
      </c>
      <c r="I7" s="12"/>
      <c r="J7" s="13"/>
      <c r="K7" s="13"/>
      <c r="L7" s="60"/>
      <c r="M7" s="50"/>
      <c r="Q7" s="146"/>
    </row>
    <row r="8" spans="1:17" x14ac:dyDescent="0.2">
      <c r="A8" s="14"/>
      <c r="B8" s="14"/>
      <c r="C8" s="15"/>
      <c r="D8" s="15"/>
      <c r="E8" s="21">
        <v>1</v>
      </c>
      <c r="F8" s="21">
        <v>2</v>
      </c>
      <c r="G8" s="21">
        <v>3</v>
      </c>
      <c r="H8" s="15"/>
      <c r="I8" s="16"/>
      <c r="J8" s="13"/>
      <c r="K8" s="13"/>
      <c r="L8" s="60"/>
      <c r="M8" s="50"/>
    </row>
    <row r="9" spans="1:17" x14ac:dyDescent="0.2">
      <c r="A9" s="14"/>
      <c r="B9" s="14"/>
      <c r="C9" s="17" t="s">
        <v>2</v>
      </c>
      <c r="D9" s="17" t="s">
        <v>2</v>
      </c>
      <c r="E9" s="17" t="s">
        <v>2</v>
      </c>
      <c r="F9" s="17" t="s">
        <v>2</v>
      </c>
      <c r="G9" s="17" t="s">
        <v>2</v>
      </c>
      <c r="H9" s="17" t="s">
        <v>2</v>
      </c>
      <c r="I9" s="18" t="s">
        <v>2</v>
      </c>
      <c r="J9" s="19" t="s">
        <v>17</v>
      </c>
      <c r="K9" s="19" t="s">
        <v>11</v>
      </c>
      <c r="L9" s="49" t="s">
        <v>19</v>
      </c>
      <c r="M9" s="51" t="s">
        <v>2</v>
      </c>
      <c r="Q9" s="53"/>
    </row>
    <row r="10" spans="1:17" ht="12.75" x14ac:dyDescent="0.2">
      <c r="A10" s="104">
        <v>101</v>
      </c>
      <c r="B10" s="3"/>
      <c r="C10" s="31">
        <v>7.62</v>
      </c>
      <c r="D10" s="35">
        <f>AVERAGE(B38:B41)</f>
        <v>-9</v>
      </c>
      <c r="E10" s="130">
        <v>30.48</v>
      </c>
      <c r="F10" s="127"/>
      <c r="G10" s="80"/>
      <c r="H10" s="35">
        <f>SUM(C10:G10)</f>
        <v>29.1</v>
      </c>
      <c r="I10" s="31">
        <v>14.75</v>
      </c>
      <c r="J10" s="22">
        <f>3.141592654*(I10*I10)*H10</f>
        <v>19889.639076968964</v>
      </c>
      <c r="K10" s="34">
        <f t="shared" ref="K10:K11" si="0">J10/1000</f>
        <v>19.889639076968965</v>
      </c>
      <c r="L10" s="32">
        <f>3.141592654*(I10*I10)</f>
        <v>683.49275178587504</v>
      </c>
      <c r="M10" s="35">
        <f>AVERAGE(B48:B51)</f>
        <v>0</v>
      </c>
      <c r="Q10" s="63"/>
    </row>
    <row r="11" spans="1:17" ht="12.75" x14ac:dyDescent="0.2">
      <c r="A11" s="104">
        <v>102</v>
      </c>
      <c r="B11" s="3"/>
      <c r="C11" s="31">
        <v>7.62</v>
      </c>
      <c r="D11" s="35">
        <f>AVERAGE(C38:C41)</f>
        <v>-12.475000000000001</v>
      </c>
      <c r="E11" s="130">
        <v>30.48</v>
      </c>
      <c r="F11" s="127"/>
      <c r="G11" s="80"/>
      <c r="H11" s="35">
        <f t="shared" ref="H11" si="1">SUM(C11:G11)</f>
        <v>25.625</v>
      </c>
      <c r="I11" s="31">
        <v>14.75</v>
      </c>
      <c r="J11" s="22">
        <f t="shared" ref="J11" si="2">3.141592654*(I11*I11)*H11</f>
        <v>17514.501764513047</v>
      </c>
      <c r="K11" s="34">
        <f t="shared" si="0"/>
        <v>17.514501764513046</v>
      </c>
      <c r="L11" s="32">
        <f t="shared" ref="L11:L21" si="3">3.141592654*(I11*I11)</f>
        <v>683.49275178587504</v>
      </c>
      <c r="M11" s="35">
        <f>AVERAGE(C48:C51)</f>
        <v>0</v>
      </c>
      <c r="Q11" s="63"/>
    </row>
    <row r="12" spans="1:17" ht="12.75" x14ac:dyDescent="0.2">
      <c r="A12" s="104">
        <v>103</v>
      </c>
      <c r="B12" s="3"/>
      <c r="C12" s="31">
        <v>7.62</v>
      </c>
      <c r="D12" s="35">
        <f>AVERAGE(D38:D41)</f>
        <v>-10.5</v>
      </c>
      <c r="E12" s="130">
        <v>30.48</v>
      </c>
      <c r="F12" s="127"/>
      <c r="G12" s="80"/>
      <c r="H12" s="35">
        <f t="shared" ref="H12:H21" si="4">SUM(C12:G12)</f>
        <v>27.6</v>
      </c>
      <c r="I12" s="31">
        <v>14.75</v>
      </c>
      <c r="J12" s="22">
        <f t="shared" ref="J12:J21" si="5">3.141592654*(I12*I12)*H12</f>
        <v>18864.399949290153</v>
      </c>
      <c r="K12" s="34">
        <f t="shared" ref="K12:K21" si="6">J12/1000</f>
        <v>18.864399949290153</v>
      </c>
      <c r="L12" s="32">
        <f t="shared" si="3"/>
        <v>683.49275178587504</v>
      </c>
      <c r="M12" s="35">
        <f>AVERAGE(D48:D51)</f>
        <v>0</v>
      </c>
      <c r="Q12" s="63"/>
    </row>
    <row r="13" spans="1:17" ht="10.9" customHeight="1" x14ac:dyDescent="0.2">
      <c r="A13" s="104">
        <v>104</v>
      </c>
      <c r="B13" s="3"/>
      <c r="C13" s="31">
        <v>7.62</v>
      </c>
      <c r="D13" s="35">
        <f>AVERAGE(E38:E41)</f>
        <v>-8.75</v>
      </c>
      <c r="E13" s="130">
        <v>30.48</v>
      </c>
      <c r="F13" s="127"/>
      <c r="G13" s="80"/>
      <c r="H13" s="35">
        <f t="shared" si="4"/>
        <v>29.35</v>
      </c>
      <c r="I13" s="31">
        <v>14.75</v>
      </c>
      <c r="J13" s="22">
        <f t="shared" si="5"/>
        <v>20060.512264915433</v>
      </c>
      <c r="K13" s="34">
        <f t="shared" si="6"/>
        <v>20.060512264915431</v>
      </c>
      <c r="L13" s="32">
        <f t="shared" si="3"/>
        <v>683.49275178587504</v>
      </c>
      <c r="M13" s="35">
        <f>AVERAGE(E48:E51)</f>
        <v>0</v>
      </c>
      <c r="Q13" s="63"/>
    </row>
    <row r="14" spans="1:17" ht="12.75" x14ac:dyDescent="0.2">
      <c r="A14" s="104">
        <v>105</v>
      </c>
      <c r="B14" s="3"/>
      <c r="C14" s="31">
        <v>7.62</v>
      </c>
      <c r="D14" s="53">
        <f>AVERAGE(F38:F41)</f>
        <v>-10.5</v>
      </c>
      <c r="E14" s="130">
        <v>30.48</v>
      </c>
      <c r="F14" s="128"/>
      <c r="G14" s="86"/>
      <c r="H14" s="35">
        <f t="shared" si="4"/>
        <v>27.6</v>
      </c>
      <c r="I14" s="31">
        <v>14.75</v>
      </c>
      <c r="J14" s="22">
        <f t="shared" si="5"/>
        <v>18864.399949290153</v>
      </c>
      <c r="K14" s="34">
        <f t="shared" si="6"/>
        <v>18.864399949290153</v>
      </c>
      <c r="L14" s="32">
        <f t="shared" si="3"/>
        <v>683.49275178587504</v>
      </c>
      <c r="M14" s="22">
        <f>AVERAGE(F48:F51)</f>
        <v>0</v>
      </c>
      <c r="N14" s="34"/>
      <c r="O14" s="32"/>
      <c r="P14" s="35"/>
    </row>
    <row r="15" spans="1:17" ht="12.75" x14ac:dyDescent="0.2">
      <c r="A15" s="104">
        <v>106</v>
      </c>
      <c r="B15" s="3"/>
      <c r="C15" s="31">
        <v>7.62</v>
      </c>
      <c r="D15" s="53">
        <f>AVERAGE(G38:G41)</f>
        <v>-10.75</v>
      </c>
      <c r="E15" s="130">
        <v>30.48</v>
      </c>
      <c r="F15" s="128"/>
      <c r="G15" s="86"/>
      <c r="H15" s="35">
        <f t="shared" si="4"/>
        <v>27.35</v>
      </c>
      <c r="I15" s="31">
        <v>14.75</v>
      </c>
      <c r="J15" s="22">
        <f t="shared" si="5"/>
        <v>18693.526761343684</v>
      </c>
      <c r="K15" s="34">
        <f t="shared" si="6"/>
        <v>18.693526761343684</v>
      </c>
      <c r="L15" s="32">
        <f t="shared" si="3"/>
        <v>683.49275178587504</v>
      </c>
      <c r="M15" s="22">
        <f>AVERAGE(G48:G51)</f>
        <v>0</v>
      </c>
      <c r="N15" s="34"/>
      <c r="O15" s="32"/>
    </row>
    <row r="16" spans="1:17" ht="12.75" x14ac:dyDescent="0.2">
      <c r="A16" s="104">
        <v>201</v>
      </c>
      <c r="B16" s="3"/>
      <c r="C16" s="31">
        <v>7.62</v>
      </c>
      <c r="D16" s="53">
        <f>AVERAGE(H38:H41)</f>
        <v>-10.375</v>
      </c>
      <c r="E16" s="130">
        <v>30.48</v>
      </c>
      <c r="F16" s="129"/>
      <c r="G16" s="85"/>
      <c r="H16" s="35">
        <f t="shared" si="4"/>
        <v>27.725000000000001</v>
      </c>
      <c r="I16" s="31">
        <v>14.75</v>
      </c>
      <c r="J16" s="22">
        <f t="shared" si="5"/>
        <v>18949.836543263387</v>
      </c>
      <c r="K16" s="34">
        <f t="shared" si="6"/>
        <v>18.949836543263388</v>
      </c>
      <c r="L16" s="32">
        <f t="shared" si="3"/>
        <v>683.49275178587504</v>
      </c>
      <c r="M16" s="14" t="e">
        <f>AVERAGE(H48:H51)</f>
        <v>#DIV/0!</v>
      </c>
    </row>
    <row r="17" spans="1:15" ht="12.75" x14ac:dyDescent="0.2">
      <c r="A17" s="104">
        <v>202</v>
      </c>
      <c r="B17" s="3"/>
      <c r="C17" s="31">
        <v>7.62</v>
      </c>
      <c r="D17" s="53">
        <f>AVERAGE(I38:I41)</f>
        <v>-8.625</v>
      </c>
      <c r="E17" s="130">
        <v>30.48</v>
      </c>
      <c r="F17" s="129"/>
      <c r="G17" s="85"/>
      <c r="H17" s="35">
        <f t="shared" si="4"/>
        <v>29.475000000000001</v>
      </c>
      <c r="I17" s="31">
        <v>14.75</v>
      </c>
      <c r="J17" s="22">
        <f t="shared" si="5"/>
        <v>20145.948858888667</v>
      </c>
      <c r="K17" s="34">
        <f t="shared" si="6"/>
        <v>20.145948858888666</v>
      </c>
      <c r="L17" s="32">
        <f t="shared" si="3"/>
        <v>683.49275178587504</v>
      </c>
      <c r="M17" s="14" t="e">
        <f>AVERAGE(I48:I51)</f>
        <v>#DIV/0!</v>
      </c>
    </row>
    <row r="18" spans="1:15" ht="12.75" x14ac:dyDescent="0.2">
      <c r="A18" s="104">
        <v>203</v>
      </c>
      <c r="B18" s="3"/>
      <c r="C18" s="31">
        <v>7.62</v>
      </c>
      <c r="D18" s="53">
        <f>AVERAGE(J38:J41)</f>
        <v>-8.25</v>
      </c>
      <c r="E18" s="130">
        <v>30.48</v>
      </c>
      <c r="F18" s="129"/>
      <c r="G18" s="85"/>
      <c r="H18" s="35">
        <f t="shared" si="4"/>
        <v>29.85</v>
      </c>
      <c r="I18" s="31">
        <v>14.75</v>
      </c>
      <c r="J18" s="22">
        <f t="shared" si="5"/>
        <v>20402.25864080837</v>
      </c>
      <c r="K18" s="34">
        <f t="shared" si="6"/>
        <v>20.40225864080837</v>
      </c>
      <c r="L18" s="32">
        <f t="shared" si="3"/>
        <v>683.49275178587504</v>
      </c>
      <c r="M18" s="14" t="e">
        <f>AVERAGE(J48:J51)</f>
        <v>#DIV/0!</v>
      </c>
    </row>
    <row r="19" spans="1:15" s="179" customFormat="1" ht="12.75" x14ac:dyDescent="0.2">
      <c r="A19" s="169">
        <v>204</v>
      </c>
      <c r="B19" s="170"/>
      <c r="C19" s="171">
        <v>7.62</v>
      </c>
      <c r="D19" s="172">
        <f>AVERAGE(K38:K41)</f>
        <v>-7</v>
      </c>
      <c r="E19" s="130">
        <v>30.48</v>
      </c>
      <c r="F19" s="173"/>
      <c r="G19" s="173"/>
      <c r="H19" s="174">
        <f t="shared" si="4"/>
        <v>31.1</v>
      </c>
      <c r="I19" s="171">
        <v>14.75</v>
      </c>
      <c r="J19" s="175">
        <f t="shared" si="5"/>
        <v>21256.624580540716</v>
      </c>
      <c r="K19" s="176">
        <f t="shared" si="6"/>
        <v>21.256624580540716</v>
      </c>
      <c r="L19" s="177">
        <f t="shared" si="3"/>
        <v>683.49275178587504</v>
      </c>
      <c r="M19" s="178" t="e">
        <f>AVERAGE(K48:K51)</f>
        <v>#DIV/0!</v>
      </c>
    </row>
    <row r="20" spans="1:15" s="179" customFormat="1" ht="12.75" x14ac:dyDescent="0.2">
      <c r="A20" s="169">
        <v>205</v>
      </c>
      <c r="B20" s="170"/>
      <c r="C20" s="171">
        <v>7.62</v>
      </c>
      <c r="D20" s="172">
        <f>AVERAGE(L38:L41)</f>
        <v>-7</v>
      </c>
      <c r="E20" s="130">
        <v>30.48</v>
      </c>
      <c r="F20" s="173"/>
      <c r="G20" s="173"/>
      <c r="H20" s="174">
        <f t="shared" si="4"/>
        <v>31.1</v>
      </c>
      <c r="I20" s="171">
        <v>14.75</v>
      </c>
      <c r="J20" s="175">
        <f t="shared" si="5"/>
        <v>21256.624580540716</v>
      </c>
      <c r="K20" s="176">
        <f t="shared" si="6"/>
        <v>21.256624580540716</v>
      </c>
      <c r="L20" s="177">
        <f t="shared" si="3"/>
        <v>683.49275178587504</v>
      </c>
      <c r="M20" s="178" t="e">
        <f>AVERAGE(L48:L51)</f>
        <v>#DIV/0!</v>
      </c>
    </row>
    <row r="21" spans="1:15" s="179" customFormat="1" ht="12.75" x14ac:dyDescent="0.2">
      <c r="A21" s="169">
        <v>206</v>
      </c>
      <c r="B21" s="170"/>
      <c r="C21" s="171">
        <v>7.62</v>
      </c>
      <c r="D21" s="172">
        <f>AVERAGE(M38:M41)</f>
        <v>-7.35</v>
      </c>
      <c r="E21" s="130">
        <v>30.48</v>
      </c>
      <c r="F21" s="173"/>
      <c r="G21" s="173"/>
      <c r="H21" s="174">
        <f t="shared" si="4"/>
        <v>30.75</v>
      </c>
      <c r="I21" s="171">
        <v>14.75</v>
      </c>
      <c r="J21" s="175">
        <f t="shared" si="5"/>
        <v>21017.402117415659</v>
      </c>
      <c r="K21" s="176">
        <f t="shared" si="6"/>
        <v>21.01740211741566</v>
      </c>
      <c r="L21" s="177">
        <f t="shared" si="3"/>
        <v>683.49275178587504</v>
      </c>
      <c r="M21" s="178" t="e">
        <f>AVERAGE(M48:M51)</f>
        <v>#DIV/0!</v>
      </c>
    </row>
    <row r="24" spans="1:15" x14ac:dyDescent="0.2">
      <c r="E24" s="36"/>
    </row>
    <row r="25" spans="1:15" ht="12.75" x14ac:dyDescent="0.2">
      <c r="C25" s="9">
        <v>402</v>
      </c>
      <c r="D25" s="9">
        <v>409</v>
      </c>
      <c r="E25" s="9">
        <v>505</v>
      </c>
      <c r="F25" s="9">
        <v>512</v>
      </c>
      <c r="G25" s="9">
        <v>601</v>
      </c>
      <c r="H25" s="9">
        <v>608</v>
      </c>
      <c r="I25" s="9">
        <v>209</v>
      </c>
      <c r="J25" s="9">
        <v>307</v>
      </c>
      <c r="K25" s="9" t="s">
        <v>67</v>
      </c>
      <c r="O25" s="30"/>
    </row>
    <row r="26" spans="1:15" s="30" customFormat="1" ht="12.75" x14ac:dyDescent="0.2"/>
    <row r="27" spans="1:15" s="30" customFormat="1" ht="12.75" customHeight="1" x14ac:dyDescent="0.2"/>
    <row r="28" spans="1:15" s="30" customFormat="1" ht="12.75" x14ac:dyDescent="0.2"/>
    <row r="29" spans="1:15" s="30" customFormat="1" ht="12.75" x14ac:dyDescent="0.2">
      <c r="O29" s="39"/>
    </row>
    <row r="30" spans="1:15" s="30" customFormat="1" ht="12.75" x14ac:dyDescent="0.2">
      <c r="O30" s="9"/>
    </row>
    <row r="31" spans="1:15" s="30" customFormat="1" ht="12.75" x14ac:dyDescent="0.2">
      <c r="O31" s="9"/>
    </row>
    <row r="32" spans="1:15" s="30" customFormat="1" ht="12.75" x14ac:dyDescent="0.2">
      <c r="O32" s="104"/>
    </row>
    <row r="33" spans="1:22" s="30" customFormat="1" ht="12.75" x14ac:dyDescent="0.2">
      <c r="O33" s="9"/>
    </row>
    <row r="34" spans="1:22" s="30" customFormat="1" ht="12.75" x14ac:dyDescent="0.2">
      <c r="A34" s="47"/>
      <c r="B34" s="31"/>
      <c r="C34" s="31"/>
      <c r="D34" s="31"/>
      <c r="E34" s="31"/>
      <c r="F34" s="31"/>
      <c r="G34" s="31"/>
      <c r="H34" s="31"/>
      <c r="I34" s="31"/>
      <c r="J34" s="31"/>
      <c r="K34" s="31"/>
      <c r="O34" s="9"/>
    </row>
    <row r="35" spans="1:22" s="30" customFormat="1" ht="12.75" x14ac:dyDescent="0.2">
      <c r="A35" s="9"/>
      <c r="B35" s="48" t="s">
        <v>59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O35" s="9"/>
    </row>
    <row r="36" spans="1:22" s="30" customFormat="1" ht="12.75" x14ac:dyDescent="0.2">
      <c r="A36" s="20"/>
      <c r="B36" s="147" t="s">
        <v>18</v>
      </c>
      <c r="C36" s="147"/>
      <c r="D36" s="147"/>
      <c r="E36" s="147"/>
      <c r="F36" s="147" t="s">
        <v>18</v>
      </c>
      <c r="G36" s="147"/>
      <c r="H36" s="147"/>
      <c r="I36" s="147"/>
      <c r="J36" s="147" t="s">
        <v>18</v>
      </c>
      <c r="K36" s="147"/>
      <c r="L36" s="147"/>
      <c r="M36" s="147"/>
      <c r="O36" s="9"/>
    </row>
    <row r="37" spans="1:22" s="30" customFormat="1" ht="12.75" customHeight="1" x14ac:dyDescent="0.2">
      <c r="A37" s="20" t="s">
        <v>13</v>
      </c>
      <c r="B37" s="104">
        <v>101</v>
      </c>
      <c r="C37" s="104">
        <v>102</v>
      </c>
      <c r="D37" s="104">
        <v>103</v>
      </c>
      <c r="E37" s="104">
        <v>104</v>
      </c>
      <c r="F37" s="104">
        <v>105</v>
      </c>
      <c r="G37" s="104">
        <v>106</v>
      </c>
      <c r="H37" s="104">
        <v>201</v>
      </c>
      <c r="I37" s="104">
        <v>202</v>
      </c>
      <c r="J37" s="104">
        <v>203</v>
      </c>
      <c r="K37" s="123">
        <v>204</v>
      </c>
      <c r="L37" s="123">
        <v>205</v>
      </c>
      <c r="M37" s="123">
        <v>206</v>
      </c>
      <c r="O37" s="9"/>
    </row>
    <row r="38" spans="1:22" s="30" customFormat="1" ht="12.75" x14ac:dyDescent="0.2">
      <c r="A38" s="11">
        <v>1</v>
      </c>
      <c r="B38">
        <v>-9</v>
      </c>
      <c r="C38">
        <v>-12.5</v>
      </c>
      <c r="D38">
        <v>-10.5</v>
      </c>
      <c r="E38">
        <v>-9</v>
      </c>
      <c r="F38">
        <v>-10.5</v>
      </c>
      <c r="G38">
        <v>-10.5</v>
      </c>
      <c r="H38">
        <v>-10.5</v>
      </c>
      <c r="I38">
        <v>-9</v>
      </c>
      <c r="J38">
        <v>-8</v>
      </c>
      <c r="K38">
        <v>-7</v>
      </c>
      <c r="L38" s="114">
        <v>-7</v>
      </c>
      <c r="M38">
        <v>-7.5</v>
      </c>
      <c r="O38" s="9"/>
    </row>
    <row r="39" spans="1:22" s="30" customFormat="1" ht="12.75" x14ac:dyDescent="0.2">
      <c r="A39" s="11">
        <v>2</v>
      </c>
      <c r="B39">
        <v>-9</v>
      </c>
      <c r="C39">
        <v>-13</v>
      </c>
      <c r="D39" s="126"/>
      <c r="E39">
        <v>-9</v>
      </c>
      <c r="F39" s="126"/>
      <c r="G39">
        <v>-10.5</v>
      </c>
      <c r="H39">
        <v>-10.5</v>
      </c>
      <c r="I39">
        <v>-8.5</v>
      </c>
      <c r="J39">
        <v>-8</v>
      </c>
      <c r="K39">
        <v>-7</v>
      </c>
      <c r="L39" s="114"/>
      <c r="M39">
        <v>-7.5</v>
      </c>
      <c r="O39" s="9"/>
    </row>
    <row r="40" spans="1:22" s="30" customFormat="1" ht="12.75" x14ac:dyDescent="0.2">
      <c r="A40" s="11">
        <v>3</v>
      </c>
      <c r="B40" s="81"/>
      <c r="C40">
        <v>-12.2</v>
      </c>
      <c r="D40" s="81"/>
      <c r="E40">
        <v>-8.5</v>
      </c>
      <c r="F40" s="81"/>
      <c r="G40">
        <v>-11</v>
      </c>
      <c r="H40">
        <v>-10</v>
      </c>
      <c r="I40">
        <v>-8.5</v>
      </c>
      <c r="J40">
        <v>-8.5</v>
      </c>
      <c r="K40" s="114"/>
      <c r="L40" s="114"/>
      <c r="M40">
        <v>-7.2</v>
      </c>
      <c r="O40" s="9"/>
    </row>
    <row r="41" spans="1:22" s="30" customFormat="1" ht="12.75" x14ac:dyDescent="0.2">
      <c r="A41" s="11">
        <v>4</v>
      </c>
      <c r="B41" s="81"/>
      <c r="C41">
        <v>-12.2</v>
      </c>
      <c r="D41" s="81"/>
      <c r="E41">
        <v>-8.5</v>
      </c>
      <c r="F41" s="81"/>
      <c r="G41">
        <v>-11</v>
      </c>
      <c r="H41">
        <v>-10.5</v>
      </c>
      <c r="I41">
        <v>-8.5</v>
      </c>
      <c r="J41">
        <v>-8.5</v>
      </c>
      <c r="K41" s="114"/>
      <c r="L41" s="114"/>
      <c r="M41">
        <v>-7.2</v>
      </c>
      <c r="O41" s="9"/>
    </row>
    <row r="42" spans="1:22" s="30" customFormat="1" ht="12.75" x14ac:dyDescent="0.2">
      <c r="A42" s="39" t="s">
        <v>14</v>
      </c>
      <c r="B42" s="38">
        <f>AVERAGE(B38:B41)</f>
        <v>-9</v>
      </c>
      <c r="C42" s="38">
        <f t="shared" ref="C42:M42" si="7">AVERAGE(C38:C41)</f>
        <v>-12.475000000000001</v>
      </c>
      <c r="D42" s="38">
        <f>AVERAGE(D38:D41)</f>
        <v>-10.5</v>
      </c>
      <c r="E42" s="38">
        <f t="shared" si="7"/>
        <v>-8.75</v>
      </c>
      <c r="F42" s="39">
        <f t="shared" si="7"/>
        <v>-10.5</v>
      </c>
      <c r="G42" s="36">
        <f t="shared" si="7"/>
        <v>-10.75</v>
      </c>
      <c r="H42" s="36">
        <f t="shared" si="7"/>
        <v>-10.375</v>
      </c>
      <c r="I42" s="36">
        <f t="shared" si="7"/>
        <v>-8.625</v>
      </c>
      <c r="J42" s="36">
        <f t="shared" si="7"/>
        <v>-8.25</v>
      </c>
      <c r="K42" s="36">
        <f t="shared" si="7"/>
        <v>-7</v>
      </c>
      <c r="L42" s="36">
        <f t="shared" si="7"/>
        <v>-7</v>
      </c>
      <c r="M42" s="36">
        <f t="shared" si="7"/>
        <v>-7.35</v>
      </c>
      <c r="O42" s="9"/>
    </row>
    <row r="43" spans="1:22" s="30" customFormat="1" ht="12.75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O43" s="9"/>
    </row>
    <row r="44" spans="1:22" x14ac:dyDescent="0.2">
      <c r="G44" s="39"/>
      <c r="H44" s="38"/>
      <c r="I44" s="38"/>
      <c r="J44" s="38"/>
      <c r="K44" s="38"/>
      <c r="N44" s="39"/>
      <c r="P44" s="39"/>
      <c r="Q44" s="39"/>
      <c r="R44" s="39"/>
      <c r="S44" s="39"/>
      <c r="T44" s="39"/>
      <c r="U44" s="39"/>
      <c r="V44" s="39"/>
    </row>
    <row r="45" spans="1:22" ht="12.75" x14ac:dyDescent="0.2">
      <c r="B45" s="48" t="s">
        <v>49</v>
      </c>
      <c r="F45" s="30"/>
      <c r="G45" s="30"/>
      <c r="H45" s="30"/>
      <c r="I45" s="30"/>
      <c r="J45" s="30"/>
      <c r="K45" s="30"/>
      <c r="L45" s="30"/>
      <c r="M45" s="30"/>
    </row>
    <row r="46" spans="1:22" x14ac:dyDescent="0.2">
      <c r="A46" s="20"/>
      <c r="B46" s="84" t="s">
        <v>60</v>
      </c>
      <c r="C46" s="84"/>
      <c r="D46" s="84"/>
      <c r="E46" s="84"/>
      <c r="F46" s="150" t="s">
        <v>18</v>
      </c>
      <c r="G46" s="150"/>
      <c r="H46" s="150"/>
      <c r="I46" s="150"/>
      <c r="J46" s="150" t="s">
        <v>18</v>
      </c>
      <c r="K46" s="150"/>
      <c r="L46" s="150"/>
      <c r="M46" s="150"/>
    </row>
    <row r="47" spans="1:22" s="104" customFormat="1" x14ac:dyDescent="0.2">
      <c r="A47" s="101" t="s">
        <v>13</v>
      </c>
      <c r="B47" s="102">
        <v>402</v>
      </c>
      <c r="C47" s="102">
        <v>409</v>
      </c>
      <c r="D47" s="102">
        <v>505</v>
      </c>
      <c r="E47" s="102">
        <v>512</v>
      </c>
      <c r="F47" s="103">
        <v>601</v>
      </c>
      <c r="G47" s="103">
        <v>608</v>
      </c>
      <c r="H47" s="103">
        <v>209</v>
      </c>
      <c r="I47" s="103">
        <v>307</v>
      </c>
      <c r="J47" s="103" t="s">
        <v>67</v>
      </c>
      <c r="K47" s="103" t="s">
        <v>66</v>
      </c>
      <c r="L47" s="103" t="s">
        <v>66</v>
      </c>
      <c r="M47" s="103" t="s">
        <v>66</v>
      </c>
      <c r="O47" s="9"/>
    </row>
    <row r="48" spans="1:22" x14ac:dyDescent="0.2">
      <c r="A48" s="11">
        <v>1</v>
      </c>
      <c r="B48" s="81">
        <v>0</v>
      </c>
      <c r="C48" s="81">
        <v>0</v>
      </c>
      <c r="D48" s="81">
        <v>0</v>
      </c>
      <c r="E48" s="81">
        <v>0</v>
      </c>
      <c r="F48" s="96">
        <v>0</v>
      </c>
      <c r="G48" s="96">
        <v>0</v>
      </c>
      <c r="H48" s="96"/>
      <c r="I48" s="97"/>
      <c r="J48" s="97"/>
      <c r="K48" s="97"/>
      <c r="L48" s="97"/>
      <c r="M48" s="97"/>
    </row>
    <row r="49" spans="1:13" x14ac:dyDescent="0.2">
      <c r="A49" s="11">
        <v>2</v>
      </c>
      <c r="B49" s="81"/>
      <c r="C49" s="81"/>
      <c r="D49" s="81"/>
      <c r="E49" s="81"/>
      <c r="F49" s="97"/>
      <c r="G49" s="98"/>
      <c r="H49" s="98"/>
      <c r="I49" s="97"/>
      <c r="J49" s="97"/>
      <c r="K49" s="97"/>
      <c r="L49" s="97"/>
      <c r="M49" s="97"/>
    </row>
    <row r="50" spans="1:13" x14ac:dyDescent="0.2">
      <c r="A50" s="11">
        <v>3</v>
      </c>
      <c r="B50" s="81"/>
      <c r="C50" s="81"/>
      <c r="D50" s="81"/>
      <c r="E50" s="81"/>
      <c r="F50" s="97"/>
      <c r="G50" s="97"/>
      <c r="H50" s="97"/>
      <c r="I50" s="97"/>
      <c r="J50" s="97"/>
      <c r="K50" s="97"/>
      <c r="L50" s="97"/>
      <c r="M50" s="97"/>
    </row>
    <row r="51" spans="1:13" x14ac:dyDescent="0.2">
      <c r="A51" s="11">
        <v>4</v>
      </c>
      <c r="B51" s="87"/>
      <c r="C51" s="81"/>
      <c r="D51" s="81"/>
      <c r="E51" s="81"/>
      <c r="F51" s="97"/>
      <c r="G51" s="97"/>
      <c r="H51" s="97"/>
      <c r="I51" s="97"/>
      <c r="J51" s="97"/>
      <c r="K51" s="97"/>
      <c r="L51" s="97"/>
      <c r="M51" s="97"/>
    </row>
    <row r="52" spans="1:13" x14ac:dyDescent="0.2">
      <c r="A52" s="39" t="s">
        <v>14</v>
      </c>
      <c r="B52" s="38">
        <f t="shared" ref="B52:M52" si="8">AVERAGE(B48:B51)</f>
        <v>0</v>
      </c>
      <c r="C52" s="38">
        <f t="shared" si="8"/>
        <v>0</v>
      </c>
      <c r="D52" s="38">
        <f t="shared" si="8"/>
        <v>0</v>
      </c>
      <c r="E52" s="38">
        <f t="shared" si="8"/>
        <v>0</v>
      </c>
      <c r="F52" s="115">
        <f t="shared" si="8"/>
        <v>0</v>
      </c>
      <c r="G52" s="115">
        <f t="shared" si="8"/>
        <v>0</v>
      </c>
      <c r="H52" s="115" t="e">
        <f t="shared" si="8"/>
        <v>#DIV/0!</v>
      </c>
      <c r="I52" s="115" t="e">
        <f t="shared" si="8"/>
        <v>#DIV/0!</v>
      </c>
      <c r="J52" s="115" t="e">
        <f t="shared" si="8"/>
        <v>#DIV/0!</v>
      </c>
      <c r="K52" s="115" t="e">
        <f t="shared" si="8"/>
        <v>#DIV/0!</v>
      </c>
      <c r="L52" s="115" t="e">
        <f t="shared" si="8"/>
        <v>#DIV/0!</v>
      </c>
      <c r="M52" s="115" t="e">
        <f t="shared" si="8"/>
        <v>#DIV/0!</v>
      </c>
    </row>
    <row r="55" spans="1:13" x14ac:dyDescent="0.2">
      <c r="I55" s="39"/>
      <c r="J55" s="38"/>
      <c r="K55" s="38"/>
      <c r="L55" s="38"/>
      <c r="M55" s="38"/>
    </row>
    <row r="56" spans="1:13" ht="12.75" x14ac:dyDescent="0.2">
      <c r="I56" s="30" t="s">
        <v>24</v>
      </c>
      <c r="J56" s="30"/>
      <c r="K56" s="153" t="s">
        <v>25</v>
      </c>
      <c r="L56" s="153"/>
      <c r="M56" s="153"/>
    </row>
    <row r="57" spans="1:13" ht="12.75" x14ac:dyDescent="0.2">
      <c r="A57" s="30" t="s">
        <v>27</v>
      </c>
      <c r="B57" s="30"/>
      <c r="C57" s="30"/>
      <c r="D57" s="30"/>
      <c r="E57" s="30"/>
      <c r="I57" s="151" t="s">
        <v>39</v>
      </c>
      <c r="J57" s="151" t="s">
        <v>61</v>
      </c>
      <c r="K57" s="152" t="s">
        <v>41</v>
      </c>
      <c r="L57" s="152"/>
      <c r="M57" s="152" t="s">
        <v>26</v>
      </c>
    </row>
    <row r="58" spans="1:13" x14ac:dyDescent="0.2">
      <c r="A58" s="151" t="s">
        <v>39</v>
      </c>
      <c r="B58" s="151" t="s">
        <v>61</v>
      </c>
      <c r="C58" s="152" t="s">
        <v>41</v>
      </c>
      <c r="D58" s="152"/>
      <c r="E58" s="152" t="s">
        <v>26</v>
      </c>
      <c r="I58" s="151"/>
      <c r="J58" s="151"/>
      <c r="K58" s="82">
        <v>1</v>
      </c>
      <c r="L58" s="82">
        <v>2</v>
      </c>
      <c r="M58" s="152"/>
    </row>
    <row r="59" spans="1:13" x14ac:dyDescent="0.2">
      <c r="A59" s="151"/>
      <c r="B59" s="151"/>
      <c r="C59" s="82">
        <v>1</v>
      </c>
      <c r="D59" s="82">
        <v>2</v>
      </c>
      <c r="E59" s="152"/>
      <c r="I59" s="67"/>
      <c r="J59" s="67"/>
      <c r="K59" s="68"/>
      <c r="L59" s="68"/>
      <c r="M59" s="69"/>
    </row>
    <row r="60" spans="1:13" ht="12.75" x14ac:dyDescent="0.2">
      <c r="A60" s="67"/>
      <c r="B60" s="67"/>
      <c r="C60" s="68"/>
      <c r="D60" s="68"/>
      <c r="E60" s="69"/>
      <c r="I60" s="11">
        <v>106</v>
      </c>
      <c r="J60" s="3"/>
      <c r="K60" s="110"/>
      <c r="L60" s="110"/>
      <c r="M60" s="111" t="e">
        <f t="shared" ref="M60:M71" si="9">AVERAGE(K60:L60)</f>
        <v>#DIV/0!</v>
      </c>
    </row>
    <row r="61" spans="1:13" ht="12.75" x14ac:dyDescent="0.2">
      <c r="A61" s="11">
        <v>106</v>
      </c>
      <c r="B61" s="3"/>
      <c r="C61" s="110"/>
      <c r="D61" s="110"/>
      <c r="E61" s="111" t="e">
        <f t="shared" ref="E61:E72" si="10">AVERAGE(C61:D61)</f>
        <v>#DIV/0!</v>
      </c>
      <c r="I61" s="11">
        <v>107</v>
      </c>
      <c r="J61" s="3"/>
      <c r="K61" s="110"/>
      <c r="L61" s="110"/>
      <c r="M61" s="111" t="e">
        <f t="shared" si="9"/>
        <v>#DIV/0!</v>
      </c>
    </row>
    <row r="62" spans="1:13" ht="12.75" x14ac:dyDescent="0.2">
      <c r="A62" s="11">
        <v>107</v>
      </c>
      <c r="B62" s="3"/>
      <c r="C62" s="110"/>
      <c r="D62" s="110"/>
      <c r="E62" s="111" t="e">
        <f t="shared" si="10"/>
        <v>#DIV/0!</v>
      </c>
      <c r="I62" s="11">
        <v>204</v>
      </c>
      <c r="J62" s="3"/>
      <c r="K62" s="110"/>
      <c r="L62" s="110"/>
      <c r="M62" s="111" t="e">
        <f t="shared" si="9"/>
        <v>#DIV/0!</v>
      </c>
    </row>
    <row r="63" spans="1:13" ht="12.75" x14ac:dyDescent="0.2">
      <c r="A63" s="11">
        <v>204</v>
      </c>
      <c r="B63" s="3"/>
      <c r="C63" s="110"/>
      <c r="D63" s="110"/>
      <c r="E63" s="111" t="e">
        <f t="shared" si="10"/>
        <v>#DIV/0!</v>
      </c>
      <c r="I63" s="11">
        <v>209</v>
      </c>
      <c r="J63" s="3"/>
      <c r="K63" s="110"/>
      <c r="L63" s="110"/>
      <c r="M63" s="111" t="e">
        <f t="shared" si="9"/>
        <v>#DIV/0!</v>
      </c>
    </row>
    <row r="64" spans="1:13" ht="12.75" x14ac:dyDescent="0.2">
      <c r="A64" s="11">
        <v>209</v>
      </c>
      <c r="B64" s="3"/>
      <c r="C64" s="110"/>
      <c r="D64" s="110"/>
      <c r="E64" s="111" t="e">
        <f t="shared" si="10"/>
        <v>#DIV/0!</v>
      </c>
      <c r="I64" s="11">
        <v>302</v>
      </c>
      <c r="J64" s="3"/>
      <c r="K64" s="113"/>
      <c r="L64" s="113"/>
      <c r="M64" s="104" t="e">
        <f t="shared" si="9"/>
        <v>#DIV/0!</v>
      </c>
    </row>
    <row r="65" spans="1:13" ht="12.75" x14ac:dyDescent="0.2">
      <c r="A65" s="11">
        <v>302</v>
      </c>
      <c r="B65" s="3"/>
      <c r="C65" s="110"/>
      <c r="D65" s="110"/>
      <c r="E65" s="112" t="e">
        <f t="shared" si="10"/>
        <v>#DIV/0!</v>
      </c>
      <c r="I65" s="11">
        <v>307</v>
      </c>
      <c r="J65" s="3"/>
      <c r="K65" s="113"/>
      <c r="L65" s="113"/>
      <c r="M65" s="104" t="e">
        <f t="shared" si="9"/>
        <v>#DIV/0!</v>
      </c>
    </row>
    <row r="66" spans="1:13" ht="12.75" x14ac:dyDescent="0.2">
      <c r="A66" s="11">
        <v>307</v>
      </c>
      <c r="B66" s="3"/>
      <c r="C66" s="113"/>
      <c r="D66" s="113"/>
      <c r="E66" s="104" t="e">
        <f t="shared" si="10"/>
        <v>#DIV/0!</v>
      </c>
      <c r="I66" s="11" t="s">
        <v>63</v>
      </c>
      <c r="J66" s="3"/>
      <c r="K66" s="113"/>
      <c r="L66" s="113"/>
      <c r="M66" s="104" t="e">
        <f t="shared" si="9"/>
        <v>#DIV/0!</v>
      </c>
    </row>
    <row r="67" spans="1:13" ht="12.75" x14ac:dyDescent="0.2">
      <c r="A67" s="11" t="s">
        <v>63</v>
      </c>
      <c r="B67" s="3"/>
      <c r="C67" s="113"/>
      <c r="D67" s="113"/>
      <c r="E67" s="104" t="e">
        <f t="shared" si="10"/>
        <v>#DIV/0!</v>
      </c>
      <c r="I67" s="11" t="s">
        <v>64</v>
      </c>
      <c r="J67" s="3"/>
      <c r="K67" s="113"/>
      <c r="L67" s="113"/>
      <c r="M67" s="104" t="e">
        <f t="shared" si="9"/>
        <v>#DIV/0!</v>
      </c>
    </row>
    <row r="68" spans="1:13" ht="12.75" x14ac:dyDescent="0.2">
      <c r="A68" s="11" t="s">
        <v>64</v>
      </c>
      <c r="B68" s="3"/>
      <c r="C68" s="113"/>
      <c r="D68" s="113"/>
      <c r="E68" s="104" t="e">
        <f t="shared" si="10"/>
        <v>#DIV/0!</v>
      </c>
      <c r="I68" s="11" t="s">
        <v>65</v>
      </c>
      <c r="J68" s="3"/>
      <c r="K68" s="113"/>
      <c r="L68" s="113"/>
      <c r="M68" s="104" t="e">
        <f t="shared" si="9"/>
        <v>#DIV/0!</v>
      </c>
    </row>
    <row r="69" spans="1:13" ht="12.75" x14ac:dyDescent="0.2">
      <c r="A69" s="11" t="s">
        <v>65</v>
      </c>
      <c r="B69" s="3"/>
      <c r="C69" s="113"/>
      <c r="D69" s="113"/>
      <c r="E69" s="104" t="e">
        <f t="shared" si="10"/>
        <v>#DIV/0!</v>
      </c>
      <c r="I69" s="123" t="s">
        <v>66</v>
      </c>
      <c r="J69" s="3"/>
      <c r="K69" s="113"/>
      <c r="L69" s="113"/>
      <c r="M69" s="104" t="e">
        <f t="shared" si="9"/>
        <v>#DIV/0!</v>
      </c>
    </row>
    <row r="70" spans="1:13" ht="12.75" x14ac:dyDescent="0.2">
      <c r="A70" s="123" t="s">
        <v>66</v>
      </c>
      <c r="B70" s="3"/>
      <c r="C70" s="113"/>
      <c r="D70" s="113"/>
      <c r="E70" s="104" t="e">
        <f t="shared" si="10"/>
        <v>#DIV/0!</v>
      </c>
      <c r="I70" s="123" t="s">
        <v>66</v>
      </c>
      <c r="J70" s="3"/>
      <c r="K70" s="113"/>
      <c r="L70" s="113"/>
      <c r="M70" s="104" t="e">
        <f t="shared" si="9"/>
        <v>#DIV/0!</v>
      </c>
    </row>
    <row r="71" spans="1:13" ht="12.75" x14ac:dyDescent="0.2">
      <c r="A71" s="123" t="s">
        <v>66</v>
      </c>
      <c r="B71" s="3"/>
      <c r="C71" s="113"/>
      <c r="D71" s="113"/>
      <c r="E71" s="104" t="e">
        <f t="shared" si="10"/>
        <v>#DIV/0!</v>
      </c>
      <c r="I71" s="123" t="s">
        <v>66</v>
      </c>
      <c r="J71" s="3"/>
      <c r="K71" s="113"/>
      <c r="L71" s="113"/>
      <c r="M71" s="104" t="e">
        <f t="shared" si="9"/>
        <v>#DIV/0!</v>
      </c>
    </row>
    <row r="72" spans="1:13" ht="12.75" x14ac:dyDescent="0.2">
      <c r="A72" s="123" t="s">
        <v>66</v>
      </c>
      <c r="B72" s="3"/>
      <c r="C72" s="113"/>
      <c r="D72" s="113"/>
      <c r="E72" s="104" t="e">
        <f t="shared" si="10"/>
        <v>#DIV/0!</v>
      </c>
    </row>
    <row r="73" spans="1:13" x14ac:dyDescent="0.2">
      <c r="A73" s="83" t="s">
        <v>50</v>
      </c>
    </row>
  </sheetData>
  <mergeCells count="17">
    <mergeCell ref="A58:A59"/>
    <mergeCell ref="B58:B59"/>
    <mergeCell ref="C58:D58"/>
    <mergeCell ref="E58:E59"/>
    <mergeCell ref="I57:I58"/>
    <mergeCell ref="J57:J58"/>
    <mergeCell ref="K57:L57"/>
    <mergeCell ref="J46:M46"/>
    <mergeCell ref="F36:I36"/>
    <mergeCell ref="J36:M36"/>
    <mergeCell ref="K56:M56"/>
    <mergeCell ref="M57:M58"/>
    <mergeCell ref="Q6:Q7"/>
    <mergeCell ref="B36:E36"/>
    <mergeCell ref="C6:H6"/>
    <mergeCell ref="J6:K6"/>
    <mergeCell ref="F46:I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D85"/>
  <sheetViews>
    <sheetView topLeftCell="E2" zoomScaleNormal="100" zoomScalePageLayoutView="150" workbookViewId="0">
      <selection activeCell="AC25" sqref="AC25"/>
    </sheetView>
  </sheetViews>
  <sheetFormatPr defaultColWidth="8.7109375" defaultRowHeight="12.75" outlineLevelCol="3" x14ac:dyDescent="0.2"/>
  <cols>
    <col min="2" max="2" width="8.7109375" style="91"/>
    <col min="7" max="8" width="8.7109375" customWidth="1" outlineLevel="1"/>
    <col min="9" max="9" width="8.7109375" customWidth="1" outlineLevel="3"/>
    <col min="10" max="13" width="10" customWidth="1" outlineLevel="3"/>
    <col min="28" max="28" width="8.7109375" customWidth="1"/>
  </cols>
  <sheetData>
    <row r="1" spans="1:30" x14ac:dyDescent="0.2">
      <c r="A1" s="132" t="s">
        <v>56</v>
      </c>
      <c r="B1" s="132"/>
      <c r="C1" s="132"/>
      <c r="D1" s="132"/>
      <c r="E1" s="132"/>
      <c r="F1" s="132"/>
    </row>
    <row r="2" spans="1:30" x14ac:dyDescent="0.2">
      <c r="A2" s="3" t="s">
        <v>53</v>
      </c>
      <c r="B2" s="91" t="s">
        <v>54</v>
      </c>
      <c r="C2" s="3" t="s">
        <v>39</v>
      </c>
      <c r="D2" s="3" t="s">
        <v>55</v>
      </c>
      <c r="E2" s="3" t="s">
        <v>57</v>
      </c>
      <c r="F2" s="3" t="s">
        <v>58</v>
      </c>
      <c r="H2" s="138" t="s">
        <v>16</v>
      </c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70"/>
      <c r="AA2" s="70"/>
      <c r="AB2" s="27" t="s">
        <v>0</v>
      </c>
    </row>
    <row r="3" spans="1:30" ht="22.5" customHeight="1" x14ac:dyDescent="0.2">
      <c r="A3" s="105" t="s">
        <v>62</v>
      </c>
      <c r="B3" s="92"/>
      <c r="C3" s="109" t="s">
        <v>68</v>
      </c>
      <c r="D3" s="89">
        <v>0</v>
      </c>
      <c r="E3" s="106">
        <v>3.5296729044477</v>
      </c>
      <c r="F3" s="106">
        <v>0.33282079647458501</v>
      </c>
      <c r="H3" s="141" t="s">
        <v>39</v>
      </c>
      <c r="I3" s="141" t="s">
        <v>61</v>
      </c>
      <c r="J3" s="143" t="s">
        <v>28</v>
      </c>
      <c r="K3" s="143"/>
      <c r="L3" s="143"/>
      <c r="M3" s="40"/>
      <c r="N3" s="136" t="s">
        <v>48</v>
      </c>
      <c r="O3" s="140"/>
      <c r="P3" s="140"/>
      <c r="Q3" s="140"/>
      <c r="R3" s="137" t="s">
        <v>47</v>
      </c>
      <c r="S3" s="137"/>
      <c r="T3" s="137"/>
      <c r="U3" s="137"/>
      <c r="V3" s="136" t="s">
        <v>42</v>
      </c>
      <c r="W3" s="136"/>
      <c r="X3" s="136"/>
      <c r="Y3" s="136"/>
      <c r="Z3" s="71"/>
      <c r="AA3" s="71"/>
    </row>
    <row r="4" spans="1:30" x14ac:dyDescent="0.2">
      <c r="A4" s="105" t="s">
        <v>62</v>
      </c>
      <c r="B4" s="92"/>
      <c r="C4" s="109" t="s">
        <v>68</v>
      </c>
      <c r="D4" s="89">
        <v>21</v>
      </c>
      <c r="E4" s="106">
        <v>6.0410902516556799</v>
      </c>
      <c r="F4" s="106">
        <v>0.33761189069979802</v>
      </c>
      <c r="H4" s="141"/>
      <c r="I4" s="141"/>
      <c r="J4" s="33"/>
      <c r="K4" s="33"/>
      <c r="L4" s="33"/>
      <c r="M4" s="33"/>
      <c r="N4" s="140"/>
      <c r="O4" s="140"/>
      <c r="P4" s="140"/>
      <c r="Q4" s="140"/>
      <c r="R4" s="137"/>
      <c r="S4" s="137"/>
      <c r="T4" s="137"/>
      <c r="U4" s="137"/>
      <c r="V4" s="136"/>
      <c r="W4" s="136"/>
      <c r="X4" s="136"/>
      <c r="Y4" s="136"/>
      <c r="Z4" s="23"/>
      <c r="AA4" s="56"/>
      <c r="AB4" s="24"/>
    </row>
    <row r="5" spans="1:30" x14ac:dyDescent="0.2">
      <c r="A5" s="105" t="s">
        <v>62</v>
      </c>
      <c r="B5" s="92"/>
      <c r="C5" s="109" t="s">
        <v>68</v>
      </c>
      <c r="D5" s="89">
        <v>42</v>
      </c>
      <c r="E5" s="106">
        <v>7.9290858071193204</v>
      </c>
      <c r="F5" s="106">
        <v>0.34391488672742498</v>
      </c>
      <c r="H5" s="26"/>
      <c r="I5" s="26"/>
      <c r="J5" s="33">
        <v>0</v>
      </c>
      <c r="K5" s="33">
        <v>21</v>
      </c>
      <c r="L5" s="33">
        <v>42</v>
      </c>
      <c r="M5" s="33">
        <v>63</v>
      </c>
      <c r="N5" s="33">
        <v>0</v>
      </c>
      <c r="O5" s="33">
        <v>21</v>
      </c>
      <c r="P5" s="33">
        <v>42</v>
      </c>
      <c r="Q5" s="33">
        <v>63</v>
      </c>
      <c r="R5" s="33">
        <v>0</v>
      </c>
      <c r="S5" s="33">
        <v>21</v>
      </c>
      <c r="T5" s="33">
        <v>42</v>
      </c>
      <c r="U5" s="33">
        <v>63</v>
      </c>
      <c r="V5" s="33">
        <v>0</v>
      </c>
      <c r="W5" s="33">
        <v>21</v>
      </c>
      <c r="X5" s="33">
        <v>42</v>
      </c>
      <c r="Y5" s="33">
        <v>63</v>
      </c>
      <c r="Z5" s="23"/>
      <c r="AA5" s="24"/>
      <c r="AB5" s="24"/>
    </row>
    <row r="6" spans="1:30" x14ac:dyDescent="0.2">
      <c r="A6" s="105" t="s">
        <v>62</v>
      </c>
      <c r="B6" s="92"/>
      <c r="C6" s="109" t="s">
        <v>68</v>
      </c>
      <c r="D6" s="89">
        <v>63</v>
      </c>
      <c r="E6" s="106">
        <v>10.7548108947787</v>
      </c>
      <c r="F6" s="106">
        <v>0.34982969175173001</v>
      </c>
      <c r="J6" s="133" t="s">
        <v>56</v>
      </c>
      <c r="K6" s="133"/>
      <c r="L6" s="133"/>
      <c r="M6" s="13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30" x14ac:dyDescent="0.2">
      <c r="A7" s="105" t="s">
        <v>62</v>
      </c>
      <c r="B7" s="92"/>
      <c r="C7" s="109" t="s">
        <v>69</v>
      </c>
      <c r="D7" s="89">
        <v>0</v>
      </c>
      <c r="E7" s="106">
        <v>2.3788230240256398</v>
      </c>
      <c r="F7" s="106">
        <v>0.34120776525688901</v>
      </c>
      <c r="H7" s="11">
        <v>101</v>
      </c>
      <c r="I7" s="3"/>
      <c r="J7" s="125">
        <v>24.7</v>
      </c>
      <c r="K7" s="125">
        <v>27.9</v>
      </c>
      <c r="L7" s="125">
        <v>28.9</v>
      </c>
      <c r="M7" s="125">
        <v>29.5</v>
      </c>
      <c r="N7" s="73">
        <f>F3</f>
        <v>0.33282079647458501</v>
      </c>
      <c r="O7" s="73">
        <f>F4</f>
        <v>0.33761189069979802</v>
      </c>
      <c r="P7" s="73">
        <f>F5</f>
        <v>0.34391488672742498</v>
      </c>
      <c r="Q7" s="73">
        <f>F6</f>
        <v>0.34982969175173001</v>
      </c>
      <c r="R7" s="5">
        <f>(((760*22.4)*(273+J7))/(760*273))</f>
        <v>24.426666666666666</v>
      </c>
      <c r="S7" s="5">
        <f t="shared" ref="R7:U18" si="0">(((760*22.4)*(273+K7))/(760*273))</f>
        <v>24.689230769230768</v>
      </c>
      <c r="T7" s="5">
        <f t="shared" si="0"/>
        <v>24.77128205128205</v>
      </c>
      <c r="U7" s="5">
        <f t="shared" si="0"/>
        <v>24.820512820512821</v>
      </c>
      <c r="V7" s="52">
        <f>((N7/(R7))*(0.044014))</f>
        <v>5.9970419770874939E-4</v>
      </c>
      <c r="W7" s="52">
        <f t="shared" ref="W7:Y7" si="1">((O7/(S7))*(0.044014))</f>
        <v>6.0186766838357371E-4</v>
      </c>
      <c r="X7" s="52">
        <f t="shared" si="1"/>
        <v>6.1107333052378104E-4</v>
      </c>
      <c r="Y7" s="52">
        <f t="shared" si="1"/>
        <v>6.2034995667114168E-4</v>
      </c>
      <c r="AA7" s="125">
        <v>24.7</v>
      </c>
      <c r="AB7" s="30">
        <v>25.6</v>
      </c>
      <c r="AC7" s="30">
        <v>25.8</v>
      </c>
      <c r="AD7" s="30">
        <v>24.7</v>
      </c>
    </row>
    <row r="8" spans="1:30" x14ac:dyDescent="0.2">
      <c r="A8" s="105" t="s">
        <v>62</v>
      </c>
      <c r="B8" s="92"/>
      <c r="C8" s="109" t="s">
        <v>69</v>
      </c>
      <c r="D8" s="89">
        <v>21</v>
      </c>
      <c r="E8" s="106">
        <v>3.4053825501039499</v>
      </c>
      <c r="F8" s="106">
        <v>0.34550851295159002</v>
      </c>
      <c r="H8" s="11">
        <v>102</v>
      </c>
      <c r="I8" s="3"/>
      <c r="J8" s="124">
        <v>26</v>
      </c>
      <c r="K8" s="131">
        <v>28.5</v>
      </c>
      <c r="L8" s="131">
        <v>29.4</v>
      </c>
      <c r="M8" s="124">
        <v>30.2</v>
      </c>
      <c r="N8" s="73">
        <f>F7</f>
        <v>0.34120776525688901</v>
      </c>
      <c r="O8" s="73">
        <f>F8</f>
        <v>0.34550851295159002</v>
      </c>
      <c r="P8" s="73">
        <f>F9</f>
        <v>0.34576390176956501</v>
      </c>
      <c r="Q8" s="73">
        <f>F10</f>
        <v>0.360607099870281</v>
      </c>
      <c r="R8" s="5">
        <f>(((760*22.4)*(273+J8))/(760*273))</f>
        <v>24.533333333333335</v>
      </c>
      <c r="S8" s="5">
        <f t="shared" si="0"/>
        <v>24.738461538461539</v>
      </c>
      <c r="T8" s="5">
        <f t="shared" si="0"/>
        <v>24.812307692307691</v>
      </c>
      <c r="U8" s="5">
        <f t="shared" si="0"/>
        <v>24.877948717948716</v>
      </c>
      <c r="V8" s="52">
        <f t="shared" ref="V8:V9" si="2">((N8/(R8))*(0.044014))</f>
        <v>6.1214342038111598E-4</v>
      </c>
      <c r="W8" s="52">
        <f t="shared" ref="W8:W18" si="3">((O8/(S8))*(0.044014))</f>
        <v>6.1471937797781919E-4</v>
      </c>
      <c r="X8" s="52">
        <f t="shared" ref="X8:X18" si="4">((P8/(T8))*(0.044014))</f>
        <v>6.1334288455578269E-4</v>
      </c>
      <c r="Y8" s="52">
        <f t="shared" ref="Y8:Y18" si="5">((Q8/(U8))*(0.044014))</f>
        <v>6.3798511178051961E-4</v>
      </c>
      <c r="AA8" s="125">
        <v>27.9</v>
      </c>
      <c r="AB8" s="30">
        <v>27.3</v>
      </c>
      <c r="AC8" s="30">
        <v>28</v>
      </c>
      <c r="AD8" s="30">
        <v>28</v>
      </c>
    </row>
    <row r="9" spans="1:30" x14ac:dyDescent="0.2">
      <c r="A9" s="105" t="s">
        <v>62</v>
      </c>
      <c r="B9" s="92"/>
      <c r="C9" s="109" t="s">
        <v>69</v>
      </c>
      <c r="D9" s="89">
        <v>42</v>
      </c>
      <c r="E9" s="106">
        <v>4.5042955389414496</v>
      </c>
      <c r="F9" s="106">
        <v>0.34576390176956501</v>
      </c>
      <c r="H9" s="11">
        <v>103</v>
      </c>
      <c r="I9" s="3"/>
      <c r="J9" s="125">
        <v>25.4</v>
      </c>
      <c r="K9" s="125">
        <v>27.9</v>
      </c>
      <c r="L9" s="125">
        <v>29</v>
      </c>
      <c r="M9" s="125">
        <v>29.2</v>
      </c>
      <c r="N9" s="73">
        <f>F11</f>
        <v>0.34920654303587001</v>
      </c>
      <c r="O9" s="73">
        <f>F12</f>
        <v>0.36151628406227299</v>
      </c>
      <c r="P9" s="73">
        <f>F13</f>
        <v>0.35616333443751402</v>
      </c>
      <c r="Q9" s="73">
        <f>F14</f>
        <v>0.361393697429645</v>
      </c>
      <c r="R9" s="5">
        <f t="shared" si="0"/>
        <v>24.484102564102564</v>
      </c>
      <c r="S9" s="5">
        <f t="shared" si="0"/>
        <v>24.689230769230768</v>
      </c>
      <c r="T9" s="5">
        <f t="shared" si="0"/>
        <v>24.77948717948718</v>
      </c>
      <c r="U9" s="5">
        <f t="shared" si="0"/>
        <v>24.795897435897434</v>
      </c>
      <c r="V9" s="52">
        <f t="shared" si="2"/>
        <v>6.2775332462932569E-4</v>
      </c>
      <c r="W9" s="52">
        <f t="shared" si="3"/>
        <v>6.4448252258013296E-4</v>
      </c>
      <c r="X9" s="52">
        <f t="shared" si="4"/>
        <v>6.3262701477170618E-4</v>
      </c>
      <c r="Y9" s="52">
        <f t="shared" si="5"/>
        <v>6.4149249849858065E-4</v>
      </c>
      <c r="AA9" s="125">
        <v>28.9</v>
      </c>
      <c r="AB9" s="30">
        <v>29.3</v>
      </c>
      <c r="AC9" s="30">
        <v>28.9</v>
      </c>
      <c r="AD9" s="30">
        <v>29.3</v>
      </c>
    </row>
    <row r="10" spans="1:30" x14ac:dyDescent="0.2">
      <c r="A10" s="105" t="s">
        <v>62</v>
      </c>
      <c r="B10" s="92"/>
      <c r="C10" s="109" t="s">
        <v>69</v>
      </c>
      <c r="D10" s="89">
        <v>63</v>
      </c>
      <c r="E10" s="106">
        <v>5.8722058076410599</v>
      </c>
      <c r="F10" s="106">
        <v>0.360607099870281</v>
      </c>
      <c r="H10" s="11">
        <v>104</v>
      </c>
      <c r="I10" s="3"/>
      <c r="J10" s="30">
        <v>25.6</v>
      </c>
      <c r="K10" s="30">
        <v>27.3</v>
      </c>
      <c r="L10" s="30">
        <v>29.3</v>
      </c>
      <c r="M10" s="30">
        <v>29.1</v>
      </c>
      <c r="N10" s="73">
        <f>F15</f>
        <v>0.35974899344188499</v>
      </c>
      <c r="O10" s="73">
        <f>F16</f>
        <v>0.41324784303132001</v>
      </c>
      <c r="P10" s="73">
        <f>F17</f>
        <v>0.36554121183356098</v>
      </c>
      <c r="Q10" s="73">
        <f>F18</f>
        <v>0.37262058986783297</v>
      </c>
      <c r="R10" s="5">
        <f t="shared" si="0"/>
        <v>24.500512820512821</v>
      </c>
      <c r="S10" s="5">
        <f t="shared" si="0"/>
        <v>24.64</v>
      </c>
      <c r="T10" s="5">
        <f t="shared" si="0"/>
        <v>24.804102564102564</v>
      </c>
      <c r="U10" s="5">
        <f t="shared" si="0"/>
        <v>24.787692307692311</v>
      </c>
      <c r="V10" s="52">
        <f>((N10/(R10))*(0.044014))</f>
        <v>6.462718684032714E-4</v>
      </c>
      <c r="W10" s="52">
        <f t="shared" si="3"/>
        <v>7.3817737675245596E-4</v>
      </c>
      <c r="X10" s="52">
        <f t="shared" si="4"/>
        <v>6.4863991172681493E-4</v>
      </c>
      <c r="Y10" s="52">
        <f t="shared" si="5"/>
        <v>6.6163975407074345E-4</v>
      </c>
      <c r="AA10" s="125">
        <v>29.5</v>
      </c>
      <c r="AB10" s="30">
        <v>29.1</v>
      </c>
      <c r="AC10" s="30">
        <v>29.1</v>
      </c>
      <c r="AD10" s="30">
        <v>29.6</v>
      </c>
    </row>
    <row r="11" spans="1:30" x14ac:dyDescent="0.2">
      <c r="A11" s="105" t="s">
        <v>62</v>
      </c>
      <c r="B11" s="92"/>
      <c r="C11" s="109" t="s">
        <v>70</v>
      </c>
      <c r="D11" s="89">
        <v>0</v>
      </c>
      <c r="E11" s="106">
        <v>2.3005595011895901</v>
      </c>
      <c r="F11" s="106">
        <v>0.34920654303587001</v>
      </c>
      <c r="H11" s="11">
        <v>105</v>
      </c>
      <c r="I11" s="3"/>
      <c r="J11" s="30">
        <v>25.9</v>
      </c>
      <c r="K11" s="30">
        <v>27.8</v>
      </c>
      <c r="L11" s="30">
        <v>29.4</v>
      </c>
      <c r="M11" s="30">
        <v>29.3</v>
      </c>
      <c r="N11" s="73">
        <f>F19</f>
        <v>0.32214554388322297</v>
      </c>
      <c r="O11" s="73">
        <f>F20</f>
        <v>0.34456868210144198</v>
      </c>
      <c r="P11" s="73">
        <f>F21</f>
        <v>0.34979904509357301</v>
      </c>
      <c r="Q11" s="73">
        <f>F22</f>
        <v>0.35675583649521603</v>
      </c>
      <c r="R11" s="5">
        <f t="shared" si="0"/>
        <v>24.525128205128205</v>
      </c>
      <c r="S11" s="5">
        <f t="shared" si="0"/>
        <v>24.681025641025641</v>
      </c>
      <c r="T11" s="5">
        <f t="shared" si="0"/>
        <v>24.812307692307691</v>
      </c>
      <c r="U11" s="5">
        <f t="shared" si="0"/>
        <v>24.804102564102564</v>
      </c>
      <c r="V11" s="52">
        <f t="shared" ref="V11:V18" si="6">((N11/(R11))*(0.044014))</f>
        <v>5.7813822010974701E-4</v>
      </c>
      <c r="W11" s="52">
        <f t="shared" si="3"/>
        <v>6.1447389563923469E-4</v>
      </c>
      <c r="X11" s="52">
        <f t="shared" si="4"/>
        <v>6.2050073542823292E-4</v>
      </c>
      <c r="Y11" s="52">
        <f>((Q11/(U11))*(0.044014))</f>
        <v>6.3305057487648552E-4</v>
      </c>
      <c r="AA11" s="124">
        <v>26</v>
      </c>
      <c r="AB11" s="30">
        <v>25.9</v>
      </c>
      <c r="AC11" s="30">
        <v>24.9</v>
      </c>
      <c r="AD11" s="30">
        <v>24.9</v>
      </c>
    </row>
    <row r="12" spans="1:30" x14ac:dyDescent="0.2">
      <c r="A12" s="105" t="s">
        <v>62</v>
      </c>
      <c r="B12" s="92"/>
      <c r="C12" s="109" t="s">
        <v>70</v>
      </c>
      <c r="D12" s="89">
        <v>21</v>
      </c>
      <c r="E12" s="106">
        <v>3.2219915949915698</v>
      </c>
      <c r="F12" s="106">
        <v>0.36151628406227299</v>
      </c>
      <c r="H12" s="11">
        <v>106</v>
      </c>
      <c r="I12" s="3"/>
      <c r="J12" s="30">
        <v>27.2</v>
      </c>
      <c r="K12" s="30">
        <v>28.8</v>
      </c>
      <c r="L12" s="30">
        <v>29.7</v>
      </c>
      <c r="M12" s="30">
        <v>29.2</v>
      </c>
      <c r="N12" s="73">
        <f>F23</f>
        <v>0.34507945973739201</v>
      </c>
      <c r="O12" s="73">
        <f>F24</f>
        <v>0.33534403799617901</v>
      </c>
      <c r="P12" s="73">
        <f>F25</f>
        <v>0.34065612541006202</v>
      </c>
      <c r="Q12" s="73">
        <f>F26</f>
        <v>0.35639829215005098</v>
      </c>
      <c r="R12" s="5">
        <f t="shared" si="0"/>
        <v>24.63179487179487</v>
      </c>
      <c r="S12" s="5">
        <f t="shared" si="0"/>
        <v>24.763076923076923</v>
      </c>
      <c r="T12" s="5">
        <f t="shared" si="0"/>
        <v>24.836923076923075</v>
      </c>
      <c r="U12" s="5">
        <f t="shared" si="0"/>
        <v>24.795897435897434</v>
      </c>
      <c r="V12" s="52">
        <f t="shared" si="6"/>
        <v>6.166147217421524E-4</v>
      </c>
      <c r="W12" s="52">
        <f t="shared" si="3"/>
        <v>5.9604194318069604E-4</v>
      </c>
      <c r="X12" s="52">
        <f t="shared" si="4"/>
        <v>6.0368342154788193E-4</v>
      </c>
      <c r="Y12" s="52">
        <f t="shared" si="5"/>
        <v>6.3262539584402026E-4</v>
      </c>
      <c r="Z12" s="4"/>
      <c r="AA12" s="131">
        <v>28.5</v>
      </c>
      <c r="AB12" s="30">
        <v>27.8</v>
      </c>
      <c r="AC12" s="30">
        <v>30.5</v>
      </c>
      <c r="AD12" s="30">
        <v>28.8</v>
      </c>
    </row>
    <row r="13" spans="1:30" s="30" customFormat="1" ht="13.15" customHeight="1" x14ac:dyDescent="0.2">
      <c r="A13" s="105" t="s">
        <v>62</v>
      </c>
      <c r="B13" s="92"/>
      <c r="C13" s="109" t="s">
        <v>70</v>
      </c>
      <c r="D13" s="89">
        <v>42</v>
      </c>
      <c r="E13" s="106">
        <v>4.1174552430012596</v>
      </c>
      <c r="F13" s="106">
        <v>0.35616333443751402</v>
      </c>
      <c r="H13" s="11">
        <v>201</v>
      </c>
      <c r="I13" s="3"/>
      <c r="J13" s="30">
        <v>25.8</v>
      </c>
      <c r="K13" s="30">
        <v>28</v>
      </c>
      <c r="L13" s="30">
        <v>28.9</v>
      </c>
      <c r="M13" s="30">
        <v>29.1</v>
      </c>
      <c r="N13" s="73">
        <f>F27</f>
        <v>0.34763334791714301</v>
      </c>
      <c r="O13" s="73">
        <f>F28</f>
        <v>0.349267836352184</v>
      </c>
      <c r="P13" s="73">
        <f>F29</f>
        <v>0.35089210923450598</v>
      </c>
      <c r="Q13" s="73">
        <f>F30</f>
        <v>0.36114852416438897</v>
      </c>
      <c r="R13" s="5">
        <f t="shared" si="0"/>
        <v>24.516923076923078</v>
      </c>
      <c r="S13" s="5">
        <f t="shared" si="0"/>
        <v>24.697435897435899</v>
      </c>
      <c r="T13" s="5">
        <f t="shared" si="0"/>
        <v>24.77128205128205</v>
      </c>
      <c r="U13" s="5">
        <f t="shared" si="0"/>
        <v>24.787692307692311</v>
      </c>
      <c r="V13" s="52">
        <f t="shared" si="6"/>
        <v>6.240886805908844E-4</v>
      </c>
      <c r="W13" s="52">
        <f t="shared" si="3"/>
        <v>6.2244010321739615E-4</v>
      </c>
      <c r="X13" s="52">
        <f t="shared" si="4"/>
        <v>6.2347056821179846E-4</v>
      </c>
      <c r="Y13" s="52">
        <f t="shared" si="5"/>
        <v>6.4126950364147334E-4</v>
      </c>
      <c r="AA13" s="131">
        <v>29.4</v>
      </c>
      <c r="AB13" s="30">
        <v>29.4</v>
      </c>
      <c r="AC13" s="30">
        <v>30.8</v>
      </c>
      <c r="AD13" s="30">
        <v>30</v>
      </c>
    </row>
    <row r="14" spans="1:30" s="30" customFormat="1" x14ac:dyDescent="0.2">
      <c r="A14" s="105" t="s">
        <v>62</v>
      </c>
      <c r="B14" s="92"/>
      <c r="C14" s="109" t="s">
        <v>70</v>
      </c>
      <c r="D14" s="89">
        <v>63</v>
      </c>
      <c r="E14" s="106">
        <v>4.9996660290204096</v>
      </c>
      <c r="F14" s="106">
        <v>0.361393697429645</v>
      </c>
      <c r="H14" s="11">
        <v>202</v>
      </c>
      <c r="I14" s="3"/>
      <c r="J14" s="30">
        <v>24.9</v>
      </c>
      <c r="K14" s="30">
        <v>30.5</v>
      </c>
      <c r="L14" s="30">
        <v>30.8</v>
      </c>
      <c r="M14" s="30">
        <v>34.299999999999997</v>
      </c>
      <c r="N14" s="73">
        <f>F31</f>
        <v>0.35848226490472801</v>
      </c>
      <c r="O14" s="73">
        <f>F32</f>
        <v>0.34743925241548201</v>
      </c>
      <c r="P14" s="73">
        <f>F33</f>
        <v>0.36318141915547097</v>
      </c>
      <c r="Q14" s="73">
        <f>F34</f>
        <v>0.362803443704868</v>
      </c>
      <c r="R14" s="5">
        <f t="shared" si="0"/>
        <v>24.443076923076923</v>
      </c>
      <c r="S14" s="5">
        <f t="shared" si="0"/>
        <v>24.902564102564103</v>
      </c>
      <c r="T14" s="5">
        <f t="shared" si="0"/>
        <v>24.927179487179487</v>
      </c>
      <c r="U14" s="5">
        <f t="shared" si="0"/>
        <v>25.214358974358976</v>
      </c>
      <c r="V14" s="52">
        <f t="shared" si="6"/>
        <v>6.4550950181809245E-4</v>
      </c>
      <c r="W14" s="52">
        <f t="shared" si="3"/>
        <v>6.1408099153293445E-4</v>
      </c>
      <c r="X14" s="52">
        <f t="shared" si="4"/>
        <v>6.4127058542384698E-4</v>
      </c>
      <c r="Y14" s="52">
        <f t="shared" si="5"/>
        <v>6.3330702904105943E-4</v>
      </c>
      <c r="Z14" s="23"/>
      <c r="AA14" s="124">
        <v>30.2</v>
      </c>
      <c r="AB14" s="30">
        <v>29.3</v>
      </c>
      <c r="AC14" s="30">
        <v>34.299999999999997</v>
      </c>
      <c r="AD14" s="30">
        <v>30.7</v>
      </c>
    </row>
    <row r="15" spans="1:30" s="30" customFormat="1" x14ac:dyDescent="0.2">
      <c r="A15" s="105" t="s">
        <v>62</v>
      </c>
      <c r="B15" s="92"/>
      <c r="C15" s="109" t="s">
        <v>71</v>
      </c>
      <c r="D15" s="89">
        <v>0</v>
      </c>
      <c r="E15" s="106">
        <v>2.2860529900918398</v>
      </c>
      <c r="F15" s="106">
        <v>0.35974899344188499</v>
      </c>
      <c r="H15" s="11">
        <v>203</v>
      </c>
      <c r="I15" s="3"/>
      <c r="J15" s="30">
        <v>25</v>
      </c>
      <c r="K15" s="30">
        <v>28.4</v>
      </c>
      <c r="L15" s="30">
        <v>29.5</v>
      </c>
      <c r="M15" s="30">
        <v>29.8</v>
      </c>
      <c r="N15" s="73">
        <f>F35</f>
        <v>0.35772631400352201</v>
      </c>
      <c r="O15" s="73">
        <f>F36</f>
        <v>0.36167973290577698</v>
      </c>
      <c r="P15" s="73">
        <f>F37</f>
        <v>0.36000438225985998</v>
      </c>
      <c r="Q15" s="73">
        <f>F38</f>
        <v>0.35913606027874401</v>
      </c>
      <c r="R15" s="5">
        <f t="shared" si="0"/>
        <v>24.45128205128205</v>
      </c>
      <c r="S15" s="5">
        <f t="shared" si="0"/>
        <v>24.730256410256409</v>
      </c>
      <c r="T15" s="5">
        <f t="shared" si="0"/>
        <v>24.820512820512821</v>
      </c>
      <c r="U15" s="5">
        <f t="shared" si="0"/>
        <v>24.845128205128205</v>
      </c>
      <c r="V15" s="52">
        <f t="shared" si="6"/>
        <v>6.4393212394870986E-4</v>
      </c>
      <c r="W15" s="52">
        <f t="shared" si="3"/>
        <v>6.4370427463553408E-4</v>
      </c>
      <c r="X15" s="52">
        <f t="shared" si="4"/>
        <v>6.3839264705643967E-4</v>
      </c>
      <c r="Y15" s="52">
        <f t="shared" si="5"/>
        <v>6.3622189535918596E-4</v>
      </c>
      <c r="Z15" s="23"/>
      <c r="AA15" s="125">
        <v>25.4</v>
      </c>
      <c r="AB15" s="30">
        <v>27.2</v>
      </c>
      <c r="AC15" s="30">
        <v>25</v>
      </c>
      <c r="AD15" s="30">
        <v>24.9</v>
      </c>
    </row>
    <row r="16" spans="1:30" s="30" customFormat="1" x14ac:dyDescent="0.2">
      <c r="A16" s="105" t="s">
        <v>62</v>
      </c>
      <c r="B16" s="92"/>
      <c r="C16" s="109" t="s">
        <v>71</v>
      </c>
      <c r="D16" s="89">
        <v>21</v>
      </c>
      <c r="E16" s="106">
        <v>2.2735164990197001</v>
      </c>
      <c r="F16" s="106">
        <v>0.41324784303132001</v>
      </c>
      <c r="H16" s="123">
        <v>204</v>
      </c>
      <c r="I16" s="3"/>
      <c r="J16" s="30">
        <v>24.7</v>
      </c>
      <c r="K16" s="30">
        <v>28</v>
      </c>
      <c r="L16" s="30">
        <v>29.3</v>
      </c>
      <c r="M16" s="30">
        <v>29.6</v>
      </c>
      <c r="N16" s="73">
        <f>F39</f>
        <v>0.35938123354400098</v>
      </c>
      <c r="O16" s="73">
        <f>F40</f>
        <v>0.36131197300789297</v>
      </c>
      <c r="P16" s="73">
        <f>F41</f>
        <v>0.363263143577223</v>
      </c>
      <c r="Q16" s="73">
        <f>F42</f>
        <v>0.36003502891801697</v>
      </c>
      <c r="R16" s="5">
        <f t="shared" si="0"/>
        <v>24.426666666666666</v>
      </c>
      <c r="S16" s="5">
        <f t="shared" si="0"/>
        <v>24.697435897435899</v>
      </c>
      <c r="T16" s="5">
        <f t="shared" si="0"/>
        <v>24.804102564102564</v>
      </c>
      <c r="U16" s="5">
        <f t="shared" si="0"/>
        <v>24.828717948717951</v>
      </c>
      <c r="V16" s="52">
        <f t="shared" si="6"/>
        <v>6.4756300272403083E-4</v>
      </c>
      <c r="W16" s="52">
        <f t="shared" si="3"/>
        <v>6.439043002686945E-4</v>
      </c>
      <c r="X16" s="52">
        <f t="shared" si="4"/>
        <v>6.4459756042725333E-4</v>
      </c>
      <c r="Y16" s="52">
        <f t="shared" si="5"/>
        <v>6.3823600540018413E-4</v>
      </c>
      <c r="Z16" s="31"/>
      <c r="AA16" s="125">
        <v>27.9</v>
      </c>
      <c r="AB16" s="30">
        <v>28.8</v>
      </c>
      <c r="AC16" s="30">
        <v>28.4</v>
      </c>
      <c r="AD16" s="30">
        <v>27.8</v>
      </c>
    </row>
    <row r="17" spans="1:30" s="30" customFormat="1" x14ac:dyDescent="0.2">
      <c r="A17" s="105" t="s">
        <v>62</v>
      </c>
      <c r="B17" s="92"/>
      <c r="C17" s="109" t="s">
        <v>71</v>
      </c>
      <c r="D17" s="89">
        <v>42</v>
      </c>
      <c r="E17" s="106">
        <v>3.8686954415841699</v>
      </c>
      <c r="F17" s="106">
        <v>0.36554121183356098</v>
      </c>
      <c r="H17" s="123">
        <v>205</v>
      </c>
      <c r="I17" s="3"/>
      <c r="J17" s="30">
        <v>24.9</v>
      </c>
      <c r="K17" s="30">
        <v>28.8</v>
      </c>
      <c r="L17" s="30">
        <v>30</v>
      </c>
      <c r="M17" s="30">
        <v>30.7</v>
      </c>
      <c r="N17" s="73">
        <f>F43</f>
        <v>0.36728807134851099</v>
      </c>
      <c r="O17" s="73">
        <f>F44</f>
        <v>0.35826773829762898</v>
      </c>
      <c r="P17" s="73">
        <f>F45</f>
        <v>0.36224158830532199</v>
      </c>
      <c r="Q17" s="73">
        <f>F46</f>
        <v>0.369750019553792</v>
      </c>
      <c r="R17" s="5">
        <f t="shared" si="0"/>
        <v>24.443076923076923</v>
      </c>
      <c r="S17" s="5">
        <f t="shared" si="0"/>
        <v>24.763076923076923</v>
      </c>
      <c r="T17" s="5">
        <f t="shared" si="0"/>
        <v>24.861538461538462</v>
      </c>
      <c r="U17" s="5">
        <f t="shared" si="0"/>
        <v>24.918974358974356</v>
      </c>
      <c r="V17" s="52">
        <f t="shared" si="6"/>
        <v>6.613658838127319E-4</v>
      </c>
      <c r="W17" s="52">
        <f t="shared" si="3"/>
        <v>6.3678662721984949E-4</v>
      </c>
      <c r="X17" s="52">
        <f t="shared" si="4"/>
        <v>6.4129986534565517E-4</v>
      </c>
      <c r="Y17" s="52">
        <f t="shared" si="5"/>
        <v>6.5308375562333663E-4</v>
      </c>
      <c r="Z17" s="31"/>
      <c r="AA17" s="125">
        <v>29</v>
      </c>
      <c r="AB17" s="30">
        <v>29.7</v>
      </c>
      <c r="AC17" s="30">
        <v>29.5</v>
      </c>
      <c r="AD17" s="30">
        <v>28.8</v>
      </c>
    </row>
    <row r="18" spans="1:30" s="30" customFormat="1" x14ac:dyDescent="0.2">
      <c r="A18" s="105" t="s">
        <v>62</v>
      </c>
      <c r="B18" s="92"/>
      <c r="C18" s="109" t="s">
        <v>71</v>
      </c>
      <c r="D18" s="89">
        <v>63</v>
      </c>
      <c r="E18" s="106">
        <v>4.5023255189158302</v>
      </c>
      <c r="F18" s="106">
        <v>0.37262058986783297</v>
      </c>
      <c r="H18" s="123">
        <v>206</v>
      </c>
      <c r="I18" s="3"/>
      <c r="J18" s="30">
        <v>24.9</v>
      </c>
      <c r="K18" s="30">
        <v>27.8</v>
      </c>
      <c r="L18" s="30">
        <v>28.8</v>
      </c>
      <c r="M18" s="30">
        <v>30.1</v>
      </c>
      <c r="N18" s="73">
        <f>F47</f>
        <v>0.36871824872917203</v>
      </c>
      <c r="O18" s="73">
        <f>F48</f>
        <v>0.35973877788916597</v>
      </c>
      <c r="P18" s="73">
        <f>F49</f>
        <v>0.36386586118764402</v>
      </c>
      <c r="Q18" s="73">
        <f>F50</f>
        <v>0.36842199770032102</v>
      </c>
      <c r="R18" s="5">
        <f t="shared" si="0"/>
        <v>24.443076923076923</v>
      </c>
      <c r="S18" s="5">
        <f t="shared" si="0"/>
        <v>24.681025641025641</v>
      </c>
      <c r="T18" s="5">
        <f t="shared" si="0"/>
        <v>24.763076923076923</v>
      </c>
      <c r="U18" s="5">
        <f t="shared" si="0"/>
        <v>24.869743589743592</v>
      </c>
      <c r="V18" s="52">
        <f t="shared" si="6"/>
        <v>6.6394116627125851E-4</v>
      </c>
      <c r="W18" s="52">
        <f t="shared" si="3"/>
        <v>6.4152692843099258E-4</v>
      </c>
      <c r="X18" s="52">
        <f t="shared" si="4"/>
        <v>6.467367550511572E-4</v>
      </c>
      <c r="Y18" s="52">
        <f t="shared" si="5"/>
        <v>6.5202625625257254E-4</v>
      </c>
      <c r="AA18" s="125">
        <v>29.2</v>
      </c>
      <c r="AB18" s="30">
        <v>29.2</v>
      </c>
      <c r="AC18" s="30">
        <v>29.8</v>
      </c>
      <c r="AD18" s="30">
        <v>30.1</v>
      </c>
    </row>
    <row r="19" spans="1:30" s="30" customFormat="1" x14ac:dyDescent="0.2">
      <c r="A19" s="105" t="s">
        <v>62</v>
      </c>
      <c r="B19" s="92"/>
      <c r="C19" s="109" t="s">
        <v>72</v>
      </c>
      <c r="D19" s="89">
        <v>0</v>
      </c>
      <c r="E19" s="106">
        <v>2.7660215054250301</v>
      </c>
      <c r="F19" s="106">
        <v>0.32214554388322297</v>
      </c>
      <c r="H19" s="14"/>
    </row>
    <row r="20" spans="1:30" s="30" customFormat="1" x14ac:dyDescent="0.2">
      <c r="A20" s="105" t="s">
        <v>62</v>
      </c>
      <c r="B20" s="92"/>
      <c r="C20" s="109" t="s">
        <v>72</v>
      </c>
      <c r="D20" s="89">
        <v>21</v>
      </c>
      <c r="E20" s="106">
        <v>4.7129385689277097</v>
      </c>
      <c r="F20" s="106">
        <v>0.34456868210144198</v>
      </c>
      <c r="M20" s="90"/>
    </row>
    <row r="21" spans="1:30" s="30" customFormat="1" x14ac:dyDescent="0.2">
      <c r="A21" s="105" t="s">
        <v>62</v>
      </c>
      <c r="B21" s="92"/>
      <c r="C21" s="109" t="s">
        <v>72</v>
      </c>
      <c r="D21" s="89">
        <v>42</v>
      </c>
      <c r="E21" s="106">
        <v>6.3887092398130498</v>
      </c>
      <c r="F21" s="106">
        <v>0.34979904509357301</v>
      </c>
      <c r="H21" s="139" t="s">
        <v>15</v>
      </c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</row>
    <row r="22" spans="1:30" s="30" customFormat="1" x14ac:dyDescent="0.2">
      <c r="A22" s="105" t="s">
        <v>62</v>
      </c>
      <c r="B22" s="92"/>
      <c r="C22" s="109" t="s">
        <v>72</v>
      </c>
      <c r="D22" s="89">
        <v>63</v>
      </c>
      <c r="E22" s="106">
        <v>7.9842463678367199</v>
      </c>
      <c r="F22" s="106">
        <v>0.35675583649521603</v>
      </c>
      <c r="H22" s="144" t="s">
        <v>39</v>
      </c>
      <c r="I22" s="144" t="s">
        <v>61</v>
      </c>
      <c r="J22" s="142" t="s">
        <v>28</v>
      </c>
      <c r="K22" s="142"/>
      <c r="L22" s="142"/>
      <c r="M22" s="75"/>
      <c r="N22" s="134" t="s">
        <v>48</v>
      </c>
      <c r="O22" s="145"/>
      <c r="P22" s="145"/>
      <c r="Q22" s="145"/>
      <c r="R22" s="135" t="s">
        <v>47</v>
      </c>
      <c r="S22" s="135"/>
      <c r="T22" s="135"/>
      <c r="U22" s="135"/>
      <c r="V22" s="134" t="s">
        <v>43</v>
      </c>
      <c r="W22" s="134"/>
      <c r="X22" s="134"/>
      <c r="Y22" s="134"/>
    </row>
    <row r="23" spans="1:30" s="30" customFormat="1" x14ac:dyDescent="0.2">
      <c r="A23" s="105" t="s">
        <v>62</v>
      </c>
      <c r="B23" s="92"/>
      <c r="C23" s="109" t="s">
        <v>73</v>
      </c>
      <c r="D23" s="89">
        <v>0</v>
      </c>
      <c r="E23" s="106">
        <v>2.6082408106457202</v>
      </c>
      <c r="F23" s="106">
        <v>0.34507945973739201</v>
      </c>
      <c r="H23" s="144"/>
      <c r="I23" s="144"/>
      <c r="J23" s="76"/>
      <c r="K23" s="76"/>
      <c r="L23" s="76"/>
      <c r="M23" s="76"/>
      <c r="N23" s="145"/>
      <c r="O23" s="145"/>
      <c r="P23" s="145"/>
      <c r="Q23" s="145"/>
      <c r="R23" s="135"/>
      <c r="S23" s="135"/>
      <c r="T23" s="135"/>
      <c r="U23" s="135"/>
      <c r="V23" s="134"/>
      <c r="W23" s="134"/>
      <c r="X23" s="134"/>
      <c r="Y23" s="134"/>
    </row>
    <row r="24" spans="1:30" s="30" customFormat="1" x14ac:dyDescent="0.2">
      <c r="A24" s="105" t="s">
        <v>62</v>
      </c>
      <c r="B24" s="92"/>
      <c r="C24" s="109" t="s">
        <v>73</v>
      </c>
      <c r="D24" s="89">
        <v>21</v>
      </c>
      <c r="E24" s="106">
        <v>4.1239025812669299</v>
      </c>
      <c r="F24" s="106">
        <v>0.33534403799617901</v>
      </c>
      <c r="H24" s="77"/>
      <c r="I24" s="77"/>
      <c r="J24" s="76">
        <v>0</v>
      </c>
      <c r="K24" s="76">
        <v>21</v>
      </c>
      <c r="L24" s="76">
        <v>42</v>
      </c>
      <c r="M24" s="76">
        <v>63</v>
      </c>
      <c r="N24" s="76">
        <v>0</v>
      </c>
      <c r="O24" s="76">
        <v>21</v>
      </c>
      <c r="P24" s="76">
        <v>42</v>
      </c>
      <c r="Q24" s="76">
        <v>63</v>
      </c>
      <c r="R24" s="76">
        <v>0</v>
      </c>
      <c r="S24" s="76">
        <v>21</v>
      </c>
      <c r="T24" s="76">
        <v>42</v>
      </c>
      <c r="U24" s="76">
        <v>63</v>
      </c>
      <c r="V24" s="76">
        <v>0</v>
      </c>
      <c r="W24" s="76">
        <v>21</v>
      </c>
      <c r="X24" s="76">
        <v>42</v>
      </c>
      <c r="Y24" s="76">
        <v>63</v>
      </c>
    </row>
    <row r="25" spans="1:30" s="30" customFormat="1" x14ac:dyDescent="0.2">
      <c r="A25" s="105" t="s">
        <v>62</v>
      </c>
      <c r="B25" s="92"/>
      <c r="C25" s="109" t="s">
        <v>73</v>
      </c>
      <c r="D25" s="89">
        <v>42</v>
      </c>
      <c r="E25" s="106">
        <v>5.9062334262654197</v>
      </c>
      <c r="F25" s="106">
        <v>0.34065612541006202</v>
      </c>
      <c r="H25"/>
      <c r="I25"/>
      <c r="J25"/>
      <c r="K25"/>
      <c r="L25"/>
      <c r="M2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30" s="30" customFormat="1" x14ac:dyDescent="0.2">
      <c r="A26" s="105" t="s">
        <v>62</v>
      </c>
      <c r="B26" s="92"/>
      <c r="C26" s="109" t="s">
        <v>73</v>
      </c>
      <c r="D26" s="89">
        <v>63</v>
      </c>
      <c r="E26" s="106">
        <v>7.37228651078689</v>
      </c>
      <c r="F26" s="106">
        <v>0.35639829215005098</v>
      </c>
      <c r="H26" s="11">
        <v>101</v>
      </c>
      <c r="I26" s="3"/>
      <c r="J26" s="78">
        <f t="shared" ref="J26:M29" si="7">J7</f>
        <v>24.7</v>
      </c>
      <c r="K26" s="78">
        <f t="shared" si="7"/>
        <v>27.9</v>
      </c>
      <c r="L26" s="78">
        <f t="shared" si="7"/>
        <v>28.9</v>
      </c>
      <c r="M26" s="78">
        <f t="shared" si="7"/>
        <v>29.5</v>
      </c>
      <c r="N26" s="73">
        <f>E3</f>
        <v>3.5296729044477</v>
      </c>
      <c r="O26" s="73">
        <f>E4</f>
        <v>6.0410902516556799</v>
      </c>
      <c r="P26" s="73">
        <f>E5</f>
        <v>7.9290858071193204</v>
      </c>
      <c r="Q26" s="73">
        <f>E6</f>
        <v>10.7548108947787</v>
      </c>
      <c r="R26" s="5">
        <f t="shared" ref="R26:U37" si="8">(((760*22.4)*(273+J26))/(760*273))</f>
        <v>24.426666666666666</v>
      </c>
      <c r="S26" s="5">
        <f t="shared" si="8"/>
        <v>24.689230769230768</v>
      </c>
      <c r="T26" s="5">
        <f t="shared" si="8"/>
        <v>24.77128205128205</v>
      </c>
      <c r="U26" s="5">
        <f t="shared" si="8"/>
        <v>24.820512820512821</v>
      </c>
      <c r="V26" s="52">
        <f>((N26/(R26))*(0.016043))</f>
        <v>2.3182263539596529E-3</v>
      </c>
      <c r="W26" s="52">
        <f t="shared" ref="W26:Y37" si="9">((O26/(S26))*(0.016043))</f>
        <v>3.9254852373973616E-3</v>
      </c>
      <c r="X26" s="52">
        <f t="shared" si="9"/>
        <v>5.1352337493178581E-3</v>
      </c>
      <c r="Y26" s="52">
        <f t="shared" si="9"/>
        <v>6.9514853473269141E-3</v>
      </c>
    </row>
    <row r="27" spans="1:30" s="30" customFormat="1" x14ac:dyDescent="0.2">
      <c r="A27" s="105" t="s">
        <v>62</v>
      </c>
      <c r="B27" s="92"/>
      <c r="C27" s="109" t="s">
        <v>74</v>
      </c>
      <c r="D27" s="89">
        <v>0</v>
      </c>
      <c r="E27" s="106">
        <v>2.23429519123688</v>
      </c>
      <c r="F27" s="106">
        <v>0.34763334791714301</v>
      </c>
      <c r="H27" s="11">
        <v>102</v>
      </c>
      <c r="I27" s="3"/>
      <c r="J27" s="78">
        <f t="shared" si="7"/>
        <v>26</v>
      </c>
      <c r="K27" s="78">
        <f t="shared" si="7"/>
        <v>28.5</v>
      </c>
      <c r="L27" s="78">
        <f t="shared" si="7"/>
        <v>29.4</v>
      </c>
      <c r="M27" s="78">
        <f t="shared" si="7"/>
        <v>30.2</v>
      </c>
      <c r="N27" s="73">
        <f>E7</f>
        <v>2.3788230240256398</v>
      </c>
      <c r="O27" s="73">
        <f>E8</f>
        <v>3.4053825501039499</v>
      </c>
      <c r="P27" s="73">
        <f>E9</f>
        <v>4.5042955389414496</v>
      </c>
      <c r="Q27" s="73">
        <f>E10</f>
        <v>5.8722058076410599</v>
      </c>
      <c r="R27" s="5">
        <f t="shared" si="8"/>
        <v>24.533333333333335</v>
      </c>
      <c r="S27" s="5">
        <f t="shared" si="8"/>
        <v>24.738461538461539</v>
      </c>
      <c r="T27" s="5">
        <f t="shared" si="8"/>
        <v>24.812307692307691</v>
      </c>
      <c r="U27" s="5">
        <f t="shared" si="8"/>
        <v>24.877948717948716</v>
      </c>
      <c r="V27" s="52">
        <f t="shared" ref="V27:V37" si="10">((N27/(R27))*(0.016043))</f>
        <v>1.5555757245017668E-3</v>
      </c>
      <c r="W27" s="52">
        <f t="shared" si="9"/>
        <v>2.2084054081689358E-3</v>
      </c>
      <c r="X27" s="52">
        <f t="shared" si="9"/>
        <v>2.9123616483943764E-3</v>
      </c>
      <c r="Y27" s="52">
        <f t="shared" si="9"/>
        <v>3.7867992590569716E-3</v>
      </c>
    </row>
    <row r="28" spans="1:30" s="30" customFormat="1" x14ac:dyDescent="0.2">
      <c r="A28" s="105" t="s">
        <v>62</v>
      </c>
      <c r="B28" s="92"/>
      <c r="C28" s="109" t="s">
        <v>74</v>
      </c>
      <c r="D28" s="89">
        <v>21</v>
      </c>
      <c r="E28" s="106">
        <v>4.39003437745541</v>
      </c>
      <c r="F28" s="106">
        <v>0.349267836352184</v>
      </c>
      <c r="H28" s="11">
        <v>103</v>
      </c>
      <c r="I28" s="3"/>
      <c r="J28" s="78">
        <f t="shared" si="7"/>
        <v>25.4</v>
      </c>
      <c r="K28" s="78">
        <f t="shared" si="7"/>
        <v>27.9</v>
      </c>
      <c r="L28" s="78">
        <f t="shared" si="7"/>
        <v>29</v>
      </c>
      <c r="M28" s="78">
        <f t="shared" si="7"/>
        <v>29.2</v>
      </c>
      <c r="N28" s="73">
        <f>E11</f>
        <v>2.3005595011895901</v>
      </c>
      <c r="O28" s="73">
        <f>E12</f>
        <v>3.2219915949915698</v>
      </c>
      <c r="P28" s="73">
        <f>E13</f>
        <v>4.1174552430012596</v>
      </c>
      <c r="Q28" s="73">
        <f>E14</f>
        <v>4.9996660290204096</v>
      </c>
      <c r="R28" s="5">
        <f t="shared" si="8"/>
        <v>24.484102564102564</v>
      </c>
      <c r="S28" s="5">
        <f t="shared" si="8"/>
        <v>24.689230769230768</v>
      </c>
      <c r="T28" s="5">
        <f t="shared" si="8"/>
        <v>24.77948717948718</v>
      </c>
      <c r="U28" s="5">
        <f t="shared" si="8"/>
        <v>24.795897435897434</v>
      </c>
      <c r="V28" s="52">
        <f t="shared" si="10"/>
        <v>1.5074220499181042E-3</v>
      </c>
      <c r="W28" s="52">
        <f t="shared" si="9"/>
        <v>2.0936420272303306E-3</v>
      </c>
      <c r="X28" s="52">
        <f t="shared" si="9"/>
        <v>2.6657668088527517E-3</v>
      </c>
      <c r="Y28" s="52">
        <f t="shared" si="9"/>
        <v>3.2347948813279733E-3</v>
      </c>
    </row>
    <row r="29" spans="1:30" s="30" customFormat="1" x14ac:dyDescent="0.2">
      <c r="A29" s="105" t="s">
        <v>62</v>
      </c>
      <c r="B29" s="92"/>
      <c r="C29" s="109" t="s">
        <v>74</v>
      </c>
      <c r="D29" s="89">
        <v>42</v>
      </c>
      <c r="E29" s="106">
        <v>5.8770413113403102</v>
      </c>
      <c r="F29" s="106">
        <v>0.35089210923450598</v>
      </c>
      <c r="H29" s="11">
        <v>104</v>
      </c>
      <c r="I29" s="3"/>
      <c r="J29" s="78">
        <f t="shared" si="7"/>
        <v>25.6</v>
      </c>
      <c r="K29" s="78">
        <f t="shared" si="7"/>
        <v>27.3</v>
      </c>
      <c r="L29" s="78">
        <f t="shared" si="7"/>
        <v>29.3</v>
      </c>
      <c r="M29" s="78">
        <f t="shared" si="7"/>
        <v>29.1</v>
      </c>
      <c r="N29" s="73">
        <f>E15</f>
        <v>2.2860529900918398</v>
      </c>
      <c r="O29" s="73">
        <f>E16</f>
        <v>2.2735164990197001</v>
      </c>
      <c r="P29" s="73">
        <f>E17</f>
        <v>3.8686954415841699</v>
      </c>
      <c r="Q29" s="73">
        <f>E18</f>
        <v>4.5023255189158302</v>
      </c>
      <c r="R29" s="5">
        <f t="shared" si="8"/>
        <v>24.500512820512821</v>
      </c>
      <c r="S29" s="5">
        <f t="shared" si="8"/>
        <v>24.64</v>
      </c>
      <c r="T29" s="5">
        <f t="shared" si="8"/>
        <v>24.804102564102564</v>
      </c>
      <c r="U29" s="5">
        <f t="shared" si="8"/>
        <v>24.787692307692311</v>
      </c>
      <c r="V29" s="52">
        <f t="shared" si="10"/>
        <v>1.4969134886571628E-3</v>
      </c>
      <c r="W29" s="52">
        <f t="shared" si="9"/>
        <v>1.4802769965005299E-3</v>
      </c>
      <c r="X29" s="52">
        <f t="shared" si="9"/>
        <v>2.502226428427947E-3</v>
      </c>
      <c r="Y29" s="52">
        <f t="shared" si="9"/>
        <v>2.9139787360339081E-3</v>
      </c>
    </row>
    <row r="30" spans="1:30" s="30" customFormat="1" x14ac:dyDescent="0.2">
      <c r="A30" s="105" t="s">
        <v>62</v>
      </c>
      <c r="B30" s="92"/>
      <c r="C30" s="109" t="s">
        <v>74</v>
      </c>
      <c r="D30" s="89">
        <v>63</v>
      </c>
      <c r="E30" s="106">
        <v>7.2524734746831996</v>
      </c>
      <c r="F30" s="106">
        <v>0.36114852416438897</v>
      </c>
      <c r="H30" s="11">
        <v>105</v>
      </c>
      <c r="I30" s="3"/>
      <c r="J30" s="78">
        <f t="shared" ref="J30:M30" si="11">J11</f>
        <v>25.9</v>
      </c>
      <c r="K30" s="78">
        <f t="shared" si="11"/>
        <v>27.8</v>
      </c>
      <c r="L30" s="78">
        <f t="shared" si="11"/>
        <v>29.4</v>
      </c>
      <c r="M30" s="78">
        <f t="shared" si="11"/>
        <v>29.3</v>
      </c>
      <c r="N30" s="73">
        <f>E19</f>
        <v>2.7660215054250301</v>
      </c>
      <c r="O30" s="73">
        <f>E20</f>
        <v>4.7129385689277097</v>
      </c>
      <c r="P30" s="73">
        <f>E21</f>
        <v>6.3887092398130498</v>
      </c>
      <c r="Q30" s="73">
        <f>E22</f>
        <v>7.9842463678367199</v>
      </c>
      <c r="R30" s="5">
        <f t="shared" si="8"/>
        <v>24.525128205128205</v>
      </c>
      <c r="S30" s="5">
        <f t="shared" si="8"/>
        <v>24.681025641025641</v>
      </c>
      <c r="T30" s="5">
        <f t="shared" si="8"/>
        <v>24.812307692307691</v>
      </c>
      <c r="U30" s="5">
        <f t="shared" si="8"/>
        <v>24.804102564102564</v>
      </c>
      <c r="V30" s="52">
        <f t="shared" si="10"/>
        <v>1.8093802666546261E-3</v>
      </c>
      <c r="W30" s="52">
        <f t="shared" si="9"/>
        <v>3.0634737211093156E-3</v>
      </c>
      <c r="X30" s="52">
        <f t="shared" si="9"/>
        <v>4.1307750816783548E-3</v>
      </c>
      <c r="Y30" s="52">
        <f t="shared" si="9"/>
        <v>5.1641160629847995E-3</v>
      </c>
    </row>
    <row r="31" spans="1:30" s="30" customFormat="1" x14ac:dyDescent="0.2">
      <c r="A31" s="105" t="s">
        <v>62</v>
      </c>
      <c r="B31" s="92"/>
      <c r="C31" s="109" t="s">
        <v>75</v>
      </c>
      <c r="D31" s="89">
        <v>0</v>
      </c>
      <c r="E31" s="106">
        <v>2.2869484537398499</v>
      </c>
      <c r="F31" s="106">
        <v>0.35848226490472801</v>
      </c>
      <c r="H31" s="11">
        <v>106</v>
      </c>
      <c r="I31" s="3"/>
      <c r="J31" s="78">
        <f t="shared" ref="J31:M31" si="12">J12</f>
        <v>27.2</v>
      </c>
      <c r="K31" s="78">
        <f t="shared" si="12"/>
        <v>28.8</v>
      </c>
      <c r="L31" s="78">
        <f t="shared" si="12"/>
        <v>29.7</v>
      </c>
      <c r="M31" s="78">
        <f t="shared" si="12"/>
        <v>29.2</v>
      </c>
      <c r="N31" s="73">
        <f>E23</f>
        <v>2.6082408106457202</v>
      </c>
      <c r="O31" s="73">
        <f>E24</f>
        <v>4.1239025812669299</v>
      </c>
      <c r="P31" s="73">
        <f>E25</f>
        <v>5.9062334262654197</v>
      </c>
      <c r="Q31" s="73">
        <f>E26</f>
        <v>7.37228651078689</v>
      </c>
      <c r="R31" s="5">
        <f t="shared" si="8"/>
        <v>24.63179487179487</v>
      </c>
      <c r="S31" s="5">
        <f t="shared" si="8"/>
        <v>24.763076923076923</v>
      </c>
      <c r="T31" s="5">
        <f t="shared" si="8"/>
        <v>24.836923076923075</v>
      </c>
      <c r="U31" s="5">
        <f t="shared" si="8"/>
        <v>24.795897435897434</v>
      </c>
      <c r="V31" s="52">
        <f t="shared" si="10"/>
        <v>1.6987802774008813E-3</v>
      </c>
      <c r="W31" s="52">
        <f t="shared" si="9"/>
        <v>2.6717103579971722E-3</v>
      </c>
      <c r="X31" s="52">
        <f t="shared" si="9"/>
        <v>3.8150338737255015E-3</v>
      </c>
      <c r="Y31" s="52">
        <f t="shared" si="9"/>
        <v>4.7698855344242329E-3</v>
      </c>
    </row>
    <row r="32" spans="1:30" s="30" customFormat="1" x14ac:dyDescent="0.2">
      <c r="A32" s="105" t="s">
        <v>62</v>
      </c>
      <c r="B32" s="92"/>
      <c r="C32" s="109" t="s">
        <v>75</v>
      </c>
      <c r="D32" s="89">
        <v>21</v>
      </c>
      <c r="E32" s="106">
        <v>3.47075139640866</v>
      </c>
      <c r="F32" s="106">
        <v>0.34743925241548201</v>
      </c>
      <c r="H32" s="11">
        <v>201</v>
      </c>
      <c r="I32" s="3"/>
      <c r="J32" s="78">
        <f t="shared" ref="J32:L32" si="13">J13</f>
        <v>25.8</v>
      </c>
      <c r="K32" s="78">
        <f t="shared" si="13"/>
        <v>28</v>
      </c>
      <c r="L32" s="78">
        <f t="shared" si="13"/>
        <v>28.9</v>
      </c>
      <c r="M32" s="78">
        <f>M13</f>
        <v>29.1</v>
      </c>
      <c r="N32" s="73">
        <f>E27</f>
        <v>2.23429519123688</v>
      </c>
      <c r="O32" s="73">
        <f>E28</f>
        <v>4.39003437745541</v>
      </c>
      <c r="P32" s="73">
        <f>E29</f>
        <v>5.8770413113403102</v>
      </c>
      <c r="Q32" s="73">
        <f>E30</f>
        <v>7.2524734746831996</v>
      </c>
      <c r="R32" s="5">
        <f t="shared" si="8"/>
        <v>24.516923076923078</v>
      </c>
      <c r="S32" s="5">
        <f t="shared" si="8"/>
        <v>24.697435897435899</v>
      </c>
      <c r="T32" s="5">
        <f t="shared" si="8"/>
        <v>24.77128205128205</v>
      </c>
      <c r="U32" s="5">
        <f t="shared" si="8"/>
        <v>24.787692307692311</v>
      </c>
      <c r="V32" s="52">
        <f t="shared" si="10"/>
        <v>1.4620430810403254E-3</v>
      </c>
      <c r="W32" s="52">
        <f t="shared" si="9"/>
        <v>2.8516855680888378E-3</v>
      </c>
      <c r="X32" s="52">
        <f t="shared" si="9"/>
        <v>3.8062371403563594E-3</v>
      </c>
      <c r="Y32" s="52">
        <f t="shared" si="9"/>
        <v>4.693919486738001E-3</v>
      </c>
    </row>
    <row r="33" spans="1:25" s="30" customFormat="1" x14ac:dyDescent="0.2">
      <c r="A33" s="105" t="s">
        <v>62</v>
      </c>
      <c r="B33" s="92"/>
      <c r="C33" s="109" t="s">
        <v>75</v>
      </c>
      <c r="D33" s="89">
        <v>42</v>
      </c>
      <c r="E33" s="106">
        <v>4.4666860657250398</v>
      </c>
      <c r="F33" s="106">
        <v>0.36318141915547097</v>
      </c>
      <c r="H33" s="11">
        <v>202</v>
      </c>
      <c r="I33" s="3"/>
      <c r="J33" s="78">
        <f t="shared" ref="J33:M33" si="14">J14</f>
        <v>24.9</v>
      </c>
      <c r="K33" s="78">
        <f t="shared" si="14"/>
        <v>30.5</v>
      </c>
      <c r="L33" s="78">
        <f t="shared" si="14"/>
        <v>30.8</v>
      </c>
      <c r="M33" s="78">
        <f t="shared" si="14"/>
        <v>34.299999999999997</v>
      </c>
      <c r="N33" s="73">
        <f>E31</f>
        <v>2.2869484537398499</v>
      </c>
      <c r="O33" s="73">
        <f>E32</f>
        <v>3.47075139640866</v>
      </c>
      <c r="P33" s="73">
        <f>E33</f>
        <v>4.4666860657250398</v>
      </c>
      <c r="Q33" s="73">
        <f>E34</f>
        <v>6.1188164963029301</v>
      </c>
      <c r="R33" s="5">
        <f t="shared" si="8"/>
        <v>24.443076923076923</v>
      </c>
      <c r="S33" s="5">
        <f t="shared" si="8"/>
        <v>24.902564102564103</v>
      </c>
      <c r="T33" s="5">
        <f t="shared" si="8"/>
        <v>24.927179487179487</v>
      </c>
      <c r="U33" s="5">
        <f t="shared" si="8"/>
        <v>25.214358974358976</v>
      </c>
      <c r="V33" s="52">
        <f t="shared" si="10"/>
        <v>1.5010186384803921E-3</v>
      </c>
      <c r="W33" s="52">
        <f t="shared" si="9"/>
        <v>2.2359651168150549E-3</v>
      </c>
      <c r="X33" s="52">
        <f t="shared" si="9"/>
        <v>2.8747353702524752E-3</v>
      </c>
      <c r="Y33" s="52">
        <f t="shared" si="9"/>
        <v>3.8931853532351616E-3</v>
      </c>
    </row>
    <row r="34" spans="1:25" s="30" customFormat="1" x14ac:dyDescent="0.2">
      <c r="A34" s="105" t="s">
        <v>62</v>
      </c>
      <c r="B34" s="92"/>
      <c r="C34" s="109" t="s">
        <v>75</v>
      </c>
      <c r="D34" s="89">
        <v>63</v>
      </c>
      <c r="E34" s="106">
        <v>6.1188164963029301</v>
      </c>
      <c r="F34" s="106">
        <v>0.362803443704868</v>
      </c>
      <c r="H34" s="11">
        <v>203</v>
      </c>
      <c r="I34" s="3"/>
      <c r="J34" s="78">
        <f t="shared" ref="J34:M34" si="15">J15</f>
        <v>25</v>
      </c>
      <c r="K34" s="78">
        <f t="shared" si="15"/>
        <v>28.4</v>
      </c>
      <c r="L34" s="78">
        <f t="shared" si="15"/>
        <v>29.5</v>
      </c>
      <c r="M34" s="78">
        <f t="shared" si="15"/>
        <v>29.8</v>
      </c>
      <c r="N34" s="73">
        <f>E35</f>
        <v>2.3258115760634701</v>
      </c>
      <c r="O34" s="73">
        <f>E36</f>
        <v>2.5865705903638898</v>
      </c>
      <c r="P34" s="73">
        <f>E37</f>
        <v>2.9383087113021</v>
      </c>
      <c r="Q34" s="73">
        <f>E38</f>
        <v>3.38389142255172</v>
      </c>
      <c r="R34" s="5">
        <f t="shared" si="8"/>
        <v>24.45128205128205</v>
      </c>
      <c r="S34" s="5">
        <f t="shared" si="8"/>
        <v>24.730256410256409</v>
      </c>
      <c r="T34" s="5">
        <f t="shared" si="8"/>
        <v>24.820512820512821</v>
      </c>
      <c r="U34" s="5">
        <f t="shared" si="8"/>
        <v>24.845128205128205</v>
      </c>
      <c r="V34" s="52">
        <f t="shared" si="10"/>
        <v>1.5260138522196561E-3</v>
      </c>
      <c r="W34" s="52">
        <f t="shared" si="9"/>
        <v>1.677958824721205E-3</v>
      </c>
      <c r="X34" s="52">
        <f t="shared" si="9"/>
        <v>1.8992067970675249E-3</v>
      </c>
      <c r="Y34" s="52">
        <f t="shared" si="9"/>
        <v>2.1850468890231719E-3</v>
      </c>
    </row>
    <row r="35" spans="1:25" s="30" customFormat="1" x14ac:dyDescent="0.2">
      <c r="A35" s="105" t="s">
        <v>62</v>
      </c>
      <c r="B35" s="92"/>
      <c r="C35" s="109" t="s">
        <v>76</v>
      </c>
      <c r="D35" s="89">
        <v>0</v>
      </c>
      <c r="E35" s="106">
        <v>2.3258115760634701</v>
      </c>
      <c r="F35" s="106">
        <v>0.35772631400352201</v>
      </c>
      <c r="H35" s="123">
        <v>204</v>
      </c>
      <c r="I35" s="3"/>
      <c r="J35" s="78">
        <f t="shared" ref="J35:M35" si="16">J16</f>
        <v>24.7</v>
      </c>
      <c r="K35" s="78">
        <f t="shared" si="16"/>
        <v>28</v>
      </c>
      <c r="L35" s="78">
        <f t="shared" si="16"/>
        <v>29.3</v>
      </c>
      <c r="M35" s="78">
        <f t="shared" si="16"/>
        <v>29.6</v>
      </c>
      <c r="N35" s="73">
        <f>E39</f>
        <v>2.2353697476144898</v>
      </c>
      <c r="O35" s="73">
        <f>E40</f>
        <v>3.2934495941027402</v>
      </c>
      <c r="P35" s="73">
        <f>E41</f>
        <v>4.43391209620789</v>
      </c>
      <c r="Q35" s="73">
        <f>E42</f>
        <v>5.6669655395172303</v>
      </c>
      <c r="R35" s="5">
        <f t="shared" si="8"/>
        <v>24.426666666666666</v>
      </c>
      <c r="S35" s="5">
        <f t="shared" si="8"/>
        <v>24.697435897435899</v>
      </c>
      <c r="T35" s="5">
        <f t="shared" si="8"/>
        <v>24.804102564102564</v>
      </c>
      <c r="U35" s="5">
        <f t="shared" si="8"/>
        <v>24.828717948717951</v>
      </c>
      <c r="V35" s="52">
        <f t="shared" si="10"/>
        <v>1.4681510723654175E-3</v>
      </c>
      <c r="W35" s="52">
        <f t="shared" si="9"/>
        <v>2.1393642667041327E-3</v>
      </c>
      <c r="X35" s="52">
        <f t="shared" si="9"/>
        <v>2.867801871711735E-3</v>
      </c>
      <c r="Y35" s="52">
        <f t="shared" si="9"/>
        <v>3.6616924135291248E-3</v>
      </c>
    </row>
    <row r="36" spans="1:25" s="30" customFormat="1" x14ac:dyDescent="0.2">
      <c r="A36" s="105" t="s">
        <v>62</v>
      </c>
      <c r="B36" s="92"/>
      <c r="C36" s="109" t="s">
        <v>76</v>
      </c>
      <c r="D36" s="89">
        <v>21</v>
      </c>
      <c r="E36" s="106">
        <v>2.5865705903638898</v>
      </c>
      <c r="F36" s="106">
        <v>0.36167973290577698</v>
      </c>
      <c r="H36" s="123">
        <v>205</v>
      </c>
      <c r="I36" s="3"/>
      <c r="J36" s="78">
        <f t="shared" ref="J36:M36" si="17">J17</f>
        <v>24.9</v>
      </c>
      <c r="K36" s="78">
        <f t="shared" si="17"/>
        <v>28.8</v>
      </c>
      <c r="L36" s="78">
        <f t="shared" si="17"/>
        <v>30</v>
      </c>
      <c r="M36" s="78">
        <f t="shared" si="17"/>
        <v>30.7</v>
      </c>
      <c r="N36" s="73">
        <f>E43</f>
        <v>2.3480190745341099</v>
      </c>
      <c r="O36" s="73">
        <f>E44</f>
        <v>2.6479993966173501</v>
      </c>
      <c r="P36" s="73">
        <f>E45</f>
        <v>3.1619955305749201</v>
      </c>
      <c r="Q36" s="73">
        <f>E46</f>
        <v>3.64142676771931</v>
      </c>
      <c r="R36" s="5">
        <f t="shared" si="8"/>
        <v>24.443076923076923</v>
      </c>
      <c r="S36" s="5">
        <f t="shared" si="8"/>
        <v>24.763076923076923</v>
      </c>
      <c r="T36" s="5">
        <f t="shared" si="8"/>
        <v>24.861538461538462</v>
      </c>
      <c r="U36" s="5">
        <f t="shared" si="8"/>
        <v>24.918974358974356</v>
      </c>
      <c r="V36" s="52">
        <f t="shared" si="10"/>
        <v>1.5411018069164133E-3</v>
      </c>
      <c r="W36" s="52">
        <f t="shared" si="9"/>
        <v>1.715532138913761E-3</v>
      </c>
      <c r="X36" s="52">
        <f t="shared" si="9"/>
        <v>2.0404165404120508E-3</v>
      </c>
      <c r="Y36" s="52">
        <f t="shared" si="9"/>
        <v>2.3443745634531563E-3</v>
      </c>
    </row>
    <row r="37" spans="1:25" s="30" customFormat="1" x14ac:dyDescent="0.2">
      <c r="A37" s="105" t="s">
        <v>62</v>
      </c>
      <c r="B37" s="92"/>
      <c r="C37" s="109" t="s">
        <v>76</v>
      </c>
      <c r="D37" s="89">
        <v>42</v>
      </c>
      <c r="E37" s="106">
        <v>2.9383087113021</v>
      </c>
      <c r="F37" s="106">
        <v>0.36000438225985998</v>
      </c>
      <c r="H37" s="123">
        <v>206</v>
      </c>
      <c r="I37" s="3"/>
      <c r="J37" s="78">
        <f t="shared" ref="J37:M37" si="18">J18</f>
        <v>24.9</v>
      </c>
      <c r="K37" s="78">
        <f t="shared" si="18"/>
        <v>27.8</v>
      </c>
      <c r="L37" s="78">
        <f t="shared" si="18"/>
        <v>28.8</v>
      </c>
      <c r="M37" s="78">
        <f t="shared" si="18"/>
        <v>30.1</v>
      </c>
      <c r="N37" s="73">
        <f>E47</f>
        <v>2.0999756440354198</v>
      </c>
      <c r="O37" s="73">
        <f>E48</f>
        <v>2.8306739808113299</v>
      </c>
      <c r="P37" s="73">
        <f>E49</f>
        <v>3.3229998944870598</v>
      </c>
      <c r="Q37" s="73">
        <f>E50</f>
        <v>4.1120824611132001</v>
      </c>
      <c r="R37" s="5">
        <f t="shared" si="8"/>
        <v>24.443076923076923</v>
      </c>
      <c r="S37" s="5">
        <f t="shared" si="8"/>
        <v>24.681025641025641</v>
      </c>
      <c r="T37" s="5">
        <f t="shared" si="8"/>
        <v>24.763076923076923</v>
      </c>
      <c r="U37" s="5">
        <f t="shared" si="8"/>
        <v>24.869743589743592</v>
      </c>
      <c r="V37" s="52">
        <f t="shared" si="10"/>
        <v>1.3783006682539752E-3</v>
      </c>
      <c r="W37" s="52">
        <f t="shared" si="9"/>
        <v>1.8399763176239307E-3</v>
      </c>
      <c r="X37" s="52">
        <f t="shared" si="9"/>
        <v>2.1528377702358563E-3</v>
      </c>
      <c r="Y37" s="52">
        <f t="shared" si="9"/>
        <v>2.6526264207583344E-3</v>
      </c>
    </row>
    <row r="38" spans="1:25" s="30" customFormat="1" x14ac:dyDescent="0.2">
      <c r="A38" s="105" t="s">
        <v>62</v>
      </c>
      <c r="B38" s="92"/>
      <c r="C38" s="109" t="s">
        <v>76</v>
      </c>
      <c r="D38" s="89">
        <v>63</v>
      </c>
      <c r="E38" s="106">
        <v>3.38389142255172</v>
      </c>
      <c r="F38" s="106">
        <v>0.35913606027874401</v>
      </c>
    </row>
    <row r="39" spans="1:25" s="30" customFormat="1" x14ac:dyDescent="0.2">
      <c r="A39" s="105" t="s">
        <v>62</v>
      </c>
      <c r="B39" s="92"/>
      <c r="C39" s="109" t="s">
        <v>77</v>
      </c>
      <c r="D39" s="89">
        <v>0</v>
      </c>
      <c r="E39" s="106">
        <v>2.2353697476144898</v>
      </c>
      <c r="F39" s="106">
        <v>0.35938123354400098</v>
      </c>
    </row>
    <row r="40" spans="1:25" s="30" customFormat="1" x14ac:dyDescent="0.2">
      <c r="A40" s="105" t="s">
        <v>62</v>
      </c>
      <c r="B40" s="92"/>
      <c r="C40" s="109" t="s">
        <v>77</v>
      </c>
      <c r="D40" s="89">
        <v>21</v>
      </c>
      <c r="E40" s="106">
        <v>3.2934495941027402</v>
      </c>
      <c r="F40" s="106">
        <v>0.36131197300789297</v>
      </c>
    </row>
    <row r="41" spans="1:25" s="30" customFormat="1" x14ac:dyDescent="0.2">
      <c r="A41" s="105" t="s">
        <v>62</v>
      </c>
      <c r="B41" s="92"/>
      <c r="C41" s="109" t="s">
        <v>77</v>
      </c>
      <c r="D41" s="89">
        <v>42</v>
      </c>
      <c r="E41" s="106">
        <v>4.43391209620789</v>
      </c>
      <c r="F41" s="106">
        <v>0.363263143577223</v>
      </c>
      <c r="J41" s="124">
        <v>40.200000000000003</v>
      </c>
    </row>
    <row r="42" spans="1:25" s="30" customFormat="1" x14ac:dyDescent="0.2">
      <c r="A42" s="105" t="s">
        <v>62</v>
      </c>
      <c r="B42" s="92"/>
      <c r="C42" s="109" t="s">
        <v>77</v>
      </c>
      <c r="D42" s="89">
        <v>63</v>
      </c>
      <c r="E42" s="106">
        <v>5.6669655395172303</v>
      </c>
      <c r="F42" s="106">
        <v>0.36003502891801697</v>
      </c>
      <c r="J42" s="124">
        <v>45.3</v>
      </c>
    </row>
    <row r="43" spans="1:25" s="30" customFormat="1" x14ac:dyDescent="0.2">
      <c r="A43" s="105" t="s">
        <v>62</v>
      </c>
      <c r="B43" s="107"/>
      <c r="C43" s="109" t="s">
        <v>78</v>
      </c>
      <c r="D43" s="89">
        <v>0</v>
      </c>
      <c r="E43" s="108">
        <v>2.3480190745341099</v>
      </c>
      <c r="F43" s="108">
        <v>0.36728807134851099</v>
      </c>
      <c r="J43" s="124">
        <v>45.4</v>
      </c>
    </row>
    <row r="44" spans="1:25" s="30" customFormat="1" x14ac:dyDescent="0.2">
      <c r="A44" s="105" t="s">
        <v>62</v>
      </c>
      <c r="B44" s="107"/>
      <c r="C44" s="109" t="s">
        <v>78</v>
      </c>
      <c r="D44" s="89">
        <v>21</v>
      </c>
      <c r="E44" s="108">
        <v>2.6479993966173501</v>
      </c>
      <c r="F44" s="108">
        <v>0.35826773829762898</v>
      </c>
      <c r="J44" s="124">
        <v>46.8</v>
      </c>
    </row>
    <row r="45" spans="1:25" s="30" customFormat="1" x14ac:dyDescent="0.2">
      <c r="A45" s="105" t="s">
        <v>62</v>
      </c>
      <c r="B45" s="107"/>
      <c r="C45" s="109" t="s">
        <v>78</v>
      </c>
      <c r="D45" s="89">
        <v>42</v>
      </c>
      <c r="E45" s="108">
        <v>3.1619955305749201</v>
      </c>
      <c r="F45" s="108">
        <v>0.36224158830532199</v>
      </c>
      <c r="J45" s="125">
        <v>38.700000000000003</v>
      </c>
    </row>
    <row r="46" spans="1:25" s="30" customFormat="1" x14ac:dyDescent="0.2">
      <c r="A46" s="105" t="s">
        <v>62</v>
      </c>
      <c r="B46" s="107"/>
      <c r="C46" s="109" t="s">
        <v>78</v>
      </c>
      <c r="D46" s="89">
        <v>63</v>
      </c>
      <c r="E46" s="108">
        <v>3.64142676771931</v>
      </c>
      <c r="F46" s="108">
        <v>0.369750019553792</v>
      </c>
      <c r="J46" s="125">
        <v>44.4</v>
      </c>
    </row>
    <row r="47" spans="1:25" s="30" customFormat="1" x14ac:dyDescent="0.2">
      <c r="A47" s="105" t="s">
        <v>62</v>
      </c>
      <c r="B47" s="107"/>
      <c r="C47" s="109" t="s">
        <v>79</v>
      </c>
      <c r="D47" s="89">
        <v>0</v>
      </c>
      <c r="E47" s="108">
        <v>2.0999756440354198</v>
      </c>
      <c r="F47" s="108">
        <v>0.36871824872917203</v>
      </c>
      <c r="J47" s="125">
        <v>45.9</v>
      </c>
    </row>
    <row r="48" spans="1:25" s="30" customFormat="1" x14ac:dyDescent="0.2">
      <c r="A48" s="105" t="s">
        <v>62</v>
      </c>
      <c r="B48" s="107"/>
      <c r="C48" s="109" t="s">
        <v>79</v>
      </c>
      <c r="D48" s="89">
        <v>21</v>
      </c>
      <c r="E48" s="108">
        <v>2.8306739808113299</v>
      </c>
      <c r="F48" s="108">
        <v>0.35973877788916597</v>
      </c>
      <c r="J48" s="125">
        <v>45.3</v>
      </c>
    </row>
    <row r="49" spans="1:10" s="30" customFormat="1" x14ac:dyDescent="0.2">
      <c r="A49" s="105" t="s">
        <v>62</v>
      </c>
      <c r="B49" s="107"/>
      <c r="C49" s="109" t="s">
        <v>79</v>
      </c>
      <c r="D49" s="89">
        <v>42</v>
      </c>
      <c r="E49" s="108">
        <v>3.3229998944870598</v>
      </c>
      <c r="F49" s="108">
        <v>0.36386586118764402</v>
      </c>
      <c r="J49" s="124">
        <v>38.5</v>
      </c>
    </row>
    <row r="50" spans="1:10" s="30" customFormat="1" x14ac:dyDescent="0.2">
      <c r="A50" s="105" t="s">
        <v>62</v>
      </c>
      <c r="B50" s="107"/>
      <c r="C50" s="109" t="s">
        <v>79</v>
      </c>
      <c r="D50" s="89">
        <v>63</v>
      </c>
      <c r="E50" s="108">
        <v>4.1120824611132001</v>
      </c>
      <c r="F50" s="108">
        <v>0.36842199770032102</v>
      </c>
      <c r="J50" s="124">
        <v>46.6</v>
      </c>
    </row>
    <row r="51" spans="1:10" s="30" customFormat="1" x14ac:dyDescent="0.2">
      <c r="B51" s="93"/>
      <c r="J51" s="124">
        <v>47.3</v>
      </c>
    </row>
    <row r="52" spans="1:10" s="30" customFormat="1" x14ac:dyDescent="0.2">
      <c r="B52" s="93"/>
      <c r="J52" s="124">
        <v>47.3</v>
      </c>
    </row>
    <row r="53" spans="1:10" s="30" customFormat="1" x14ac:dyDescent="0.2">
      <c r="B53" s="93"/>
      <c r="J53" s="125">
        <v>48.1</v>
      </c>
    </row>
    <row r="54" spans="1:10" s="30" customFormat="1" x14ac:dyDescent="0.2">
      <c r="B54" s="93"/>
      <c r="J54" s="125">
        <v>46.5</v>
      </c>
    </row>
    <row r="55" spans="1:10" s="30" customFormat="1" x14ac:dyDescent="0.2">
      <c r="B55" s="93"/>
      <c r="J55" s="125">
        <v>42.7</v>
      </c>
    </row>
    <row r="56" spans="1:10" s="30" customFormat="1" x14ac:dyDescent="0.2">
      <c r="B56" s="93"/>
      <c r="J56" s="125">
        <v>44.7</v>
      </c>
    </row>
    <row r="57" spans="1:10" s="30" customFormat="1" x14ac:dyDescent="0.2">
      <c r="B57" s="93"/>
      <c r="J57" s="124">
        <v>48.9</v>
      </c>
    </row>
    <row r="58" spans="1:10" s="30" customFormat="1" x14ac:dyDescent="0.2">
      <c r="B58" s="93"/>
      <c r="J58" s="124">
        <v>48.9</v>
      </c>
    </row>
    <row r="59" spans="1:10" s="30" customFormat="1" x14ac:dyDescent="0.2">
      <c r="B59" s="93"/>
      <c r="J59" s="124">
        <v>48.2</v>
      </c>
    </row>
    <row r="60" spans="1:10" s="30" customFormat="1" x14ac:dyDescent="0.2">
      <c r="B60" s="93"/>
      <c r="J60" s="124">
        <v>48.8</v>
      </c>
    </row>
    <row r="61" spans="1:10" s="30" customFormat="1" x14ac:dyDescent="0.2">
      <c r="B61" s="93"/>
      <c r="J61" s="125">
        <v>39.799999999999997</v>
      </c>
    </row>
    <row r="62" spans="1:10" s="30" customFormat="1" x14ac:dyDescent="0.2">
      <c r="B62" s="93"/>
      <c r="J62" s="125">
        <v>43.5</v>
      </c>
    </row>
    <row r="63" spans="1:10" s="30" customFormat="1" x14ac:dyDescent="0.2">
      <c r="B63" s="93"/>
      <c r="J63" s="125">
        <v>38.799999999999997</v>
      </c>
    </row>
    <row r="64" spans="1:10" s="30" customFormat="1" x14ac:dyDescent="0.2">
      <c r="B64" s="93"/>
      <c r="J64" s="125">
        <v>37.700000000000003</v>
      </c>
    </row>
    <row r="65" spans="2:2" s="30" customFormat="1" x14ac:dyDescent="0.2">
      <c r="B65" s="93"/>
    </row>
    <row r="66" spans="2:2" s="30" customFormat="1" x14ac:dyDescent="0.2">
      <c r="B66" s="93"/>
    </row>
    <row r="67" spans="2:2" s="30" customFormat="1" x14ac:dyDescent="0.2">
      <c r="B67" s="93"/>
    </row>
    <row r="68" spans="2:2" s="30" customFormat="1" x14ac:dyDescent="0.2">
      <c r="B68" s="93"/>
    </row>
    <row r="69" spans="2:2" s="30" customFormat="1" x14ac:dyDescent="0.2">
      <c r="B69" s="93"/>
    </row>
    <row r="70" spans="2:2" s="30" customFormat="1" x14ac:dyDescent="0.2">
      <c r="B70" s="93"/>
    </row>
    <row r="71" spans="2:2" s="30" customFormat="1" x14ac:dyDescent="0.2">
      <c r="B71" s="93"/>
    </row>
    <row r="72" spans="2:2" s="30" customFormat="1" x14ac:dyDescent="0.2">
      <c r="B72" s="93"/>
    </row>
    <row r="73" spans="2:2" s="30" customFormat="1" x14ac:dyDescent="0.2">
      <c r="B73" s="93"/>
    </row>
    <row r="74" spans="2:2" s="30" customFormat="1" x14ac:dyDescent="0.2">
      <c r="B74" s="93"/>
    </row>
    <row r="75" spans="2:2" s="30" customFormat="1" x14ac:dyDescent="0.2">
      <c r="B75" s="93"/>
    </row>
    <row r="76" spans="2:2" s="30" customFormat="1" x14ac:dyDescent="0.2">
      <c r="B76" s="93"/>
    </row>
    <row r="77" spans="2:2" s="30" customFormat="1" x14ac:dyDescent="0.2">
      <c r="B77" s="93"/>
    </row>
    <row r="78" spans="2:2" s="30" customFormat="1" x14ac:dyDescent="0.2">
      <c r="B78" s="93"/>
    </row>
    <row r="79" spans="2:2" s="30" customFormat="1" x14ac:dyDescent="0.2">
      <c r="B79" s="93"/>
    </row>
    <row r="80" spans="2:2" s="30" customFormat="1" x14ac:dyDescent="0.2">
      <c r="B80" s="93"/>
    </row>
    <row r="81" spans="2:2" s="30" customFormat="1" x14ac:dyDescent="0.2">
      <c r="B81" s="93"/>
    </row>
    <row r="82" spans="2:2" s="30" customFormat="1" x14ac:dyDescent="0.2">
      <c r="B82" s="93"/>
    </row>
    <row r="83" spans="2:2" s="30" customFormat="1" x14ac:dyDescent="0.2">
      <c r="B83" s="93"/>
    </row>
    <row r="84" spans="2:2" s="30" customFormat="1" x14ac:dyDescent="0.2">
      <c r="B84" s="93"/>
    </row>
    <row r="85" spans="2:2" s="30" customFormat="1" x14ac:dyDescent="0.2">
      <c r="B85" s="93"/>
    </row>
  </sheetData>
  <sortState xmlns:xlrd2="http://schemas.microsoft.com/office/spreadsheetml/2017/richdata2" ref="A3:F42">
    <sortCondition ref="D3:D42"/>
  </sortState>
  <mergeCells count="16">
    <mergeCell ref="A1:F1"/>
    <mergeCell ref="J6:M6"/>
    <mergeCell ref="V22:Y23"/>
    <mergeCell ref="R22:U23"/>
    <mergeCell ref="V3:Y4"/>
    <mergeCell ref="R3:U4"/>
    <mergeCell ref="H2:Y2"/>
    <mergeCell ref="H21:Y21"/>
    <mergeCell ref="N3:Q4"/>
    <mergeCell ref="H3:H4"/>
    <mergeCell ref="J22:L22"/>
    <mergeCell ref="I3:I4"/>
    <mergeCell ref="J3:L3"/>
    <mergeCell ref="H22:H23"/>
    <mergeCell ref="I22:I23"/>
    <mergeCell ref="N22:Q23"/>
  </mergeCells>
  <phoneticPr fontId="2" type="noConversion"/>
  <pageMargins left="0.7" right="0.7" top="0.75" bottom="0.75" header="0.3" footer="0.3"/>
  <pageSetup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"/>
  <sheetViews>
    <sheetView tabSelected="1" topLeftCell="A12" zoomScale="115" zoomScaleNormal="115" zoomScalePageLayoutView="150" workbookViewId="0">
      <selection activeCell="Q31" sqref="Q31"/>
    </sheetView>
  </sheetViews>
  <sheetFormatPr defaultColWidth="8.7109375" defaultRowHeight="12.75" x14ac:dyDescent="0.2"/>
  <cols>
    <col min="7" max="8" width="12.42578125" customWidth="1"/>
    <col min="9" max="9" width="15.140625" customWidth="1"/>
    <col min="11" max="11" width="9.7109375" customWidth="1"/>
    <col min="13" max="13" width="13.42578125" customWidth="1"/>
    <col min="14" max="14" width="11.42578125" customWidth="1"/>
    <col min="15" max="15" width="13.7109375" customWidth="1"/>
  </cols>
  <sheetData>
    <row r="1" spans="1:15" ht="12.75" customHeight="1" x14ac:dyDescent="0.2">
      <c r="C1" s="155" t="s">
        <v>20</v>
      </c>
      <c r="D1" s="155"/>
      <c r="E1" s="155"/>
      <c r="F1" s="155"/>
    </row>
    <row r="2" spans="1:15" x14ac:dyDescent="0.2">
      <c r="A2" s="6"/>
      <c r="B2" s="6"/>
      <c r="C2" s="41">
        <v>0</v>
      </c>
      <c r="D2" s="41">
        <v>21</v>
      </c>
      <c r="E2" s="41">
        <v>42</v>
      </c>
      <c r="F2" s="41">
        <v>63</v>
      </c>
    </row>
    <row r="3" spans="1:15" x14ac:dyDescent="0.2">
      <c r="A3" s="138" t="s">
        <v>16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</row>
    <row r="4" spans="1:15" ht="14.25" customHeight="1" x14ac:dyDescent="0.2">
      <c r="A4" s="26"/>
      <c r="B4" s="26"/>
      <c r="C4" s="154" t="s">
        <v>34</v>
      </c>
      <c r="D4" s="154"/>
      <c r="E4" s="154"/>
      <c r="F4" s="154"/>
      <c r="G4" s="157" t="s">
        <v>36</v>
      </c>
      <c r="H4" s="61" t="s">
        <v>35</v>
      </c>
      <c r="I4" s="156" t="s">
        <v>44</v>
      </c>
      <c r="J4" s="156" t="s">
        <v>21</v>
      </c>
      <c r="K4" s="159" t="s">
        <v>23</v>
      </c>
      <c r="L4" s="160" t="s">
        <v>31</v>
      </c>
      <c r="M4" s="26"/>
      <c r="N4" s="28"/>
      <c r="O4" s="28"/>
    </row>
    <row r="5" spans="1:15" ht="12.75" customHeight="1" x14ac:dyDescent="0.2">
      <c r="A5" s="141" t="s">
        <v>39</v>
      </c>
      <c r="B5" s="94"/>
      <c r="C5" s="154"/>
      <c r="D5" s="154"/>
      <c r="E5" s="154"/>
      <c r="F5" s="154"/>
      <c r="G5" s="157"/>
      <c r="H5" s="61"/>
      <c r="I5" s="156"/>
      <c r="J5" s="156"/>
      <c r="K5" s="159"/>
      <c r="L5" s="160"/>
      <c r="M5" s="158" t="s">
        <v>22</v>
      </c>
      <c r="N5" s="158"/>
      <c r="O5" s="158"/>
    </row>
    <row r="6" spans="1:15" ht="16.5" customHeight="1" x14ac:dyDescent="0.2">
      <c r="A6" s="141"/>
      <c r="B6" s="94" t="s">
        <v>61</v>
      </c>
      <c r="C6" s="99">
        <v>0</v>
      </c>
      <c r="D6" s="99">
        <v>21</v>
      </c>
      <c r="E6" s="99">
        <v>42</v>
      </c>
      <c r="F6" s="99">
        <v>63</v>
      </c>
      <c r="G6" s="54"/>
      <c r="H6" s="61"/>
      <c r="I6" s="54"/>
      <c r="J6" s="46"/>
      <c r="K6" s="159"/>
      <c r="L6" s="160"/>
      <c r="M6" s="29" t="s">
        <v>29</v>
      </c>
      <c r="N6" s="29" t="s">
        <v>30</v>
      </c>
      <c r="O6" s="29" t="s">
        <v>38</v>
      </c>
    </row>
    <row r="7" spans="1:15" s="55" customFormat="1" x14ac:dyDescent="0.2"/>
    <row r="8" spans="1:15" x14ac:dyDescent="0.2">
      <c r="A8" s="104">
        <v>101</v>
      </c>
      <c r="B8" s="88"/>
      <c r="C8" s="58">
        <f>'GC rawdata'!V7</f>
        <v>5.9970419770874939E-4</v>
      </c>
      <c r="D8" s="58">
        <f>'GC rawdata'!W7</f>
        <v>6.0186766838357371E-4</v>
      </c>
      <c r="E8" s="58">
        <f>'GC rawdata'!X7</f>
        <v>6.1107333052378104E-4</v>
      </c>
      <c r="F8" s="58">
        <f>'GC rawdata'!Y7</f>
        <v>6.2034995667114168E-4</v>
      </c>
      <c r="G8" s="72" t="str">
        <f>+IF((ABS(F8-C8))&gt;0.000183,"PASS","FAIL")</f>
        <v>FAIL</v>
      </c>
      <c r="H8" s="25">
        <f>+RSQ(C8:F8,$C$2:$F$2)</f>
        <v>0.94376496347564753</v>
      </c>
      <c r="I8" s="72" t="str">
        <f>IF(H8&gt;0.845,"LIN","MISS")</f>
        <v>LIN</v>
      </c>
      <c r="J8" s="72" t="str">
        <f>IF(G8="FAIL","0",IF(I8="LIN",+SLOPE(C8:F8,$C$2:$F$2),"MISS"))</f>
        <v>0</v>
      </c>
      <c r="K8" s="25">
        <f>'Field data'!K10</f>
        <v>19.889639076968965</v>
      </c>
      <c r="L8" s="25">
        <f>'Field data'!L10*0.0001</f>
        <v>6.8349275178587507E-2</v>
      </c>
      <c r="M8" s="5">
        <f>IF(J8="MISS","MISS",((K8/L8)*J8))</f>
        <v>0</v>
      </c>
      <c r="N8" s="5">
        <f>IF(M8="MISS","MISS",M8*60)</f>
        <v>0</v>
      </c>
      <c r="O8" s="5">
        <f>IF(N8="MISS","MISS",N8*240)</f>
        <v>0</v>
      </c>
    </row>
    <row r="9" spans="1:15" x14ac:dyDescent="0.2">
      <c r="A9" s="104">
        <v>102</v>
      </c>
      <c r="B9" s="88"/>
      <c r="C9" s="58">
        <f>'GC rawdata'!V8</f>
        <v>6.1214342038111598E-4</v>
      </c>
      <c r="D9" s="58">
        <f>'GC rawdata'!W8</f>
        <v>6.1471937797781919E-4</v>
      </c>
      <c r="E9" s="58">
        <f>'GC rawdata'!X8</f>
        <v>6.1334288455578269E-4</v>
      </c>
      <c r="F9" s="58">
        <f>'GC rawdata'!Y8</f>
        <v>6.3798511178051961E-4</v>
      </c>
      <c r="G9" s="72" t="str">
        <f t="shared" ref="G9:G19" si="0">+IF((ABS(F9-C9))&gt;0.000183,"PASS","FAIL")</f>
        <v>FAIL</v>
      </c>
      <c r="H9" s="25">
        <f t="shared" ref="H9:H19" si="1">+RSQ(C9:F9,$C$2:$F$2)</f>
        <v>0.63501285011330888</v>
      </c>
      <c r="I9" s="72" t="str">
        <f t="shared" ref="I9:I19" si="2">IF(H9&gt;0.845,"LIN","MISS")</f>
        <v>MISS</v>
      </c>
      <c r="J9" s="72" t="str">
        <f t="shared" ref="J9:J19" si="3">IF(G9="FAIL","0",IF(I9="LIN",+SLOPE(C9:F9,$C$2:$F$2),"MISS"))</f>
        <v>0</v>
      </c>
      <c r="K9" s="25">
        <f>'Field data'!K11</f>
        <v>17.514501764513046</v>
      </c>
      <c r="L9" s="25">
        <f>'Field data'!L11*0.0001</f>
        <v>6.8349275178587507E-2</v>
      </c>
      <c r="M9" s="5">
        <f t="shared" ref="M9:M19" si="4">IF(J9="MISS","MISS",((K9/L9)*J9))</f>
        <v>0</v>
      </c>
      <c r="N9" s="5">
        <f t="shared" ref="N9:N19" si="5">IF(M9="MISS","MISS",M9*60)</f>
        <v>0</v>
      </c>
      <c r="O9" s="5">
        <f t="shared" ref="O9:O19" si="6">IF(N9="MISS","MISS",N9*240)</f>
        <v>0</v>
      </c>
    </row>
    <row r="10" spans="1:15" x14ac:dyDescent="0.2">
      <c r="A10" s="104">
        <v>103</v>
      </c>
      <c r="B10" s="88"/>
      <c r="C10" s="58">
        <f>'GC rawdata'!V9</f>
        <v>6.2775332462932569E-4</v>
      </c>
      <c r="D10" s="58">
        <f>'GC rawdata'!W9</f>
        <v>6.4448252258013296E-4</v>
      </c>
      <c r="E10" s="58">
        <f>'GC rawdata'!X9</f>
        <v>6.3262701477170618E-4</v>
      </c>
      <c r="F10" s="58">
        <f>'GC rawdata'!Y9</f>
        <v>6.4149249849858065E-4</v>
      </c>
      <c r="G10" s="72" t="str">
        <f t="shared" si="0"/>
        <v>FAIL</v>
      </c>
      <c r="H10" s="25">
        <f t="shared" si="1"/>
        <v>0.23932242907470688</v>
      </c>
      <c r="I10" s="72" t="str">
        <f t="shared" si="2"/>
        <v>MISS</v>
      </c>
      <c r="J10" s="72" t="str">
        <f t="shared" si="3"/>
        <v>0</v>
      </c>
      <c r="K10" s="25">
        <f>'Field data'!K12</f>
        <v>18.864399949290153</v>
      </c>
      <c r="L10" s="25">
        <f>'Field data'!L12*0.0001</f>
        <v>6.8349275178587507E-2</v>
      </c>
      <c r="M10" s="5">
        <f t="shared" si="4"/>
        <v>0</v>
      </c>
      <c r="N10" s="5">
        <f t="shared" si="5"/>
        <v>0</v>
      </c>
      <c r="O10" s="5">
        <f t="shared" si="6"/>
        <v>0</v>
      </c>
    </row>
    <row r="11" spans="1:15" x14ac:dyDescent="0.2">
      <c r="A11" s="104">
        <v>104</v>
      </c>
      <c r="B11" s="88"/>
      <c r="C11" s="58">
        <f>'GC rawdata'!V10</f>
        <v>6.462718684032714E-4</v>
      </c>
      <c r="D11" s="58">
        <f>'GC rawdata'!W10</f>
        <v>7.3817737675245596E-4</v>
      </c>
      <c r="E11" s="58">
        <f>'GC rawdata'!X10</f>
        <v>6.4863991172681493E-4</v>
      </c>
      <c r="F11" s="58">
        <f>'GC rawdata'!Y10</f>
        <v>6.6163975407074345E-4</v>
      </c>
      <c r="G11" s="72" t="str">
        <f t="shared" si="0"/>
        <v>FAIL</v>
      </c>
      <c r="H11" s="25">
        <f t="shared" si="1"/>
        <v>1.6597444445030581E-2</v>
      </c>
      <c r="I11" s="72" t="str">
        <f t="shared" si="2"/>
        <v>MISS</v>
      </c>
      <c r="J11" s="74" t="str">
        <f t="shared" si="3"/>
        <v>0</v>
      </c>
      <c r="K11" s="25">
        <f>'Field data'!K13</f>
        <v>20.060512264915431</v>
      </c>
      <c r="L11" s="25">
        <f>'Field data'!L13*0.0001</f>
        <v>6.8349275178587507E-2</v>
      </c>
      <c r="M11" s="5">
        <f t="shared" si="4"/>
        <v>0</v>
      </c>
      <c r="N11" s="5">
        <f t="shared" si="5"/>
        <v>0</v>
      </c>
      <c r="O11" s="5">
        <f t="shared" si="6"/>
        <v>0</v>
      </c>
    </row>
    <row r="12" spans="1:15" x14ac:dyDescent="0.2">
      <c r="A12" s="104">
        <v>105</v>
      </c>
      <c r="B12" s="88"/>
      <c r="C12" s="58">
        <f>'GC rawdata'!V11</f>
        <v>5.7813822010974701E-4</v>
      </c>
      <c r="D12" s="58">
        <f>'GC rawdata'!W11</f>
        <v>6.1447389563923469E-4</v>
      </c>
      <c r="E12" s="58">
        <f>'GC rawdata'!X11</f>
        <v>6.2050073542823292E-4</v>
      </c>
      <c r="F12" s="58">
        <f>'GC rawdata'!Y11</f>
        <v>6.3305057487648552E-4</v>
      </c>
      <c r="G12" s="72" t="str">
        <f t="shared" si="0"/>
        <v>FAIL</v>
      </c>
      <c r="H12" s="25">
        <f t="shared" si="1"/>
        <v>0.87448423791428709</v>
      </c>
      <c r="I12" s="72" t="str">
        <f t="shared" si="2"/>
        <v>LIN</v>
      </c>
      <c r="J12" s="74" t="str">
        <f t="shared" si="3"/>
        <v>0</v>
      </c>
      <c r="K12" s="25">
        <f>'Field data'!K14</f>
        <v>18.864399949290153</v>
      </c>
      <c r="L12" s="25">
        <f>'Field data'!L14*0.0001</f>
        <v>6.8349275178587507E-2</v>
      </c>
      <c r="M12" s="5">
        <f t="shared" si="4"/>
        <v>0</v>
      </c>
      <c r="N12" s="5">
        <f t="shared" si="5"/>
        <v>0</v>
      </c>
      <c r="O12" s="5">
        <f t="shared" si="6"/>
        <v>0</v>
      </c>
    </row>
    <row r="13" spans="1:15" x14ac:dyDescent="0.2">
      <c r="A13" s="104">
        <v>106</v>
      </c>
      <c r="B13" s="88"/>
      <c r="C13" s="58">
        <f>'GC rawdata'!V12</f>
        <v>6.166147217421524E-4</v>
      </c>
      <c r="D13" s="58">
        <f>'GC rawdata'!W12</f>
        <v>5.9604194318069604E-4</v>
      </c>
      <c r="E13" s="58">
        <f>'GC rawdata'!X12</f>
        <v>6.0368342154788193E-4</v>
      </c>
      <c r="F13" s="58">
        <f>'GC rawdata'!Y12</f>
        <v>6.3262539584402026E-4</v>
      </c>
      <c r="G13" s="72" t="str">
        <f t="shared" si="0"/>
        <v>FAIL</v>
      </c>
      <c r="H13" s="25">
        <f t="shared" si="1"/>
        <v>0.20119176301694411</v>
      </c>
      <c r="I13" s="72" t="str">
        <f t="shared" si="2"/>
        <v>MISS</v>
      </c>
      <c r="J13" s="74" t="str">
        <f t="shared" si="3"/>
        <v>0</v>
      </c>
      <c r="K13" s="25">
        <f>'Field data'!K15</f>
        <v>18.693526761343684</v>
      </c>
      <c r="L13" s="25">
        <f>'Field data'!L15*0.0001</f>
        <v>6.8349275178587507E-2</v>
      </c>
      <c r="M13" s="5">
        <f t="shared" si="4"/>
        <v>0</v>
      </c>
      <c r="N13" s="5">
        <f t="shared" si="5"/>
        <v>0</v>
      </c>
      <c r="O13" s="5">
        <f t="shared" si="6"/>
        <v>0</v>
      </c>
    </row>
    <row r="14" spans="1:15" x14ac:dyDescent="0.2">
      <c r="A14" s="104">
        <v>201</v>
      </c>
      <c r="B14" s="88"/>
      <c r="C14" s="58">
        <f>'GC rawdata'!V13</f>
        <v>6.240886805908844E-4</v>
      </c>
      <c r="D14" s="58">
        <f>'GC rawdata'!W13</f>
        <v>6.2244010321739615E-4</v>
      </c>
      <c r="E14" s="58">
        <f>'GC rawdata'!X13</f>
        <v>6.2347056821179846E-4</v>
      </c>
      <c r="F14" s="58">
        <f>'GC rawdata'!Y13</f>
        <v>6.4126950364147334E-4</v>
      </c>
      <c r="G14" s="72" t="str">
        <f t="shared" si="0"/>
        <v>FAIL</v>
      </c>
      <c r="H14" s="25">
        <f t="shared" si="1"/>
        <v>0.56947347478849331</v>
      </c>
      <c r="I14" s="72" t="str">
        <f t="shared" si="2"/>
        <v>MISS</v>
      </c>
      <c r="J14" s="74" t="str">
        <f t="shared" si="3"/>
        <v>0</v>
      </c>
      <c r="K14" s="25">
        <f>'Field data'!K16</f>
        <v>18.949836543263388</v>
      </c>
      <c r="L14" s="25">
        <f>'Field data'!L16*0.0001</f>
        <v>6.8349275178587507E-2</v>
      </c>
      <c r="M14" s="5">
        <f t="shared" si="4"/>
        <v>0</v>
      </c>
      <c r="N14" s="5">
        <f t="shared" si="5"/>
        <v>0</v>
      </c>
      <c r="O14" s="5">
        <f t="shared" si="6"/>
        <v>0</v>
      </c>
    </row>
    <row r="15" spans="1:15" x14ac:dyDescent="0.2">
      <c r="A15" s="104">
        <v>202</v>
      </c>
      <c r="B15" s="88"/>
      <c r="C15" s="58">
        <f>'GC rawdata'!V14</f>
        <v>6.4550950181809245E-4</v>
      </c>
      <c r="D15" s="58">
        <f>'GC rawdata'!W14</f>
        <v>6.1408099153293445E-4</v>
      </c>
      <c r="E15" s="58">
        <f>'GC rawdata'!X14</f>
        <v>6.4127058542384698E-4</v>
      </c>
      <c r="F15" s="58">
        <f>'GC rawdata'!Y14</f>
        <v>6.3330702904105943E-4</v>
      </c>
      <c r="G15" s="72" t="str">
        <f t="shared" si="0"/>
        <v>FAIL</v>
      </c>
      <c r="H15" s="25">
        <f t="shared" si="1"/>
        <v>7.6233104557717505E-3</v>
      </c>
      <c r="I15" s="72" t="str">
        <f t="shared" si="2"/>
        <v>MISS</v>
      </c>
      <c r="J15" s="74" t="str">
        <f t="shared" si="3"/>
        <v>0</v>
      </c>
      <c r="K15" s="25">
        <f>'Field data'!K17</f>
        <v>20.145948858888666</v>
      </c>
      <c r="L15" s="25">
        <f>'Field data'!L17*0.0001</f>
        <v>6.8349275178587507E-2</v>
      </c>
      <c r="M15" s="5">
        <f t="shared" si="4"/>
        <v>0</v>
      </c>
      <c r="N15" s="5">
        <f t="shared" si="5"/>
        <v>0</v>
      </c>
      <c r="O15" s="5">
        <f t="shared" si="6"/>
        <v>0</v>
      </c>
    </row>
    <row r="16" spans="1:15" x14ac:dyDescent="0.2">
      <c r="A16" s="104">
        <v>203</v>
      </c>
      <c r="B16" s="88"/>
      <c r="C16" s="58">
        <f>'GC rawdata'!V15</f>
        <v>6.4393212394870986E-4</v>
      </c>
      <c r="D16" s="58">
        <f>'GC rawdata'!W15</f>
        <v>6.4370427463553408E-4</v>
      </c>
      <c r="E16" s="58">
        <f>'GC rawdata'!X15</f>
        <v>6.3839264705643967E-4</v>
      </c>
      <c r="F16" s="58">
        <f>'GC rawdata'!Y15</f>
        <v>6.3622189535918596E-4</v>
      </c>
      <c r="G16" s="72" t="str">
        <f t="shared" si="0"/>
        <v>FAIL</v>
      </c>
      <c r="H16" s="25">
        <f t="shared" si="1"/>
        <v>0.90338270863454928</v>
      </c>
      <c r="I16" s="72" t="str">
        <f t="shared" si="2"/>
        <v>LIN</v>
      </c>
      <c r="J16" s="74" t="str">
        <f t="shared" si="3"/>
        <v>0</v>
      </c>
      <c r="K16" s="25">
        <f>'Field data'!K18</f>
        <v>20.40225864080837</v>
      </c>
      <c r="L16" s="25">
        <f>'Field data'!L18*0.0001</f>
        <v>6.8349275178587507E-2</v>
      </c>
      <c r="M16" s="5">
        <f t="shared" si="4"/>
        <v>0</v>
      </c>
      <c r="N16" s="5">
        <f t="shared" si="5"/>
        <v>0</v>
      </c>
      <c r="O16" s="5">
        <f t="shared" si="6"/>
        <v>0</v>
      </c>
    </row>
    <row r="17" spans="1:15" s="122" customFormat="1" x14ac:dyDescent="0.2">
      <c r="A17" s="169">
        <v>204</v>
      </c>
      <c r="B17" s="116"/>
      <c r="C17" s="117">
        <f>'GC rawdata'!V16</f>
        <v>6.4756300272403083E-4</v>
      </c>
      <c r="D17" s="117">
        <f>'GC rawdata'!W16</f>
        <v>6.439043002686945E-4</v>
      </c>
      <c r="E17" s="117">
        <f>'GC rawdata'!X16</f>
        <v>6.4459756042725333E-4</v>
      </c>
      <c r="F17" s="117">
        <f>'GC rawdata'!Y16</f>
        <v>6.3823600540018413E-4</v>
      </c>
      <c r="G17" s="118" t="str">
        <f t="shared" si="0"/>
        <v>FAIL</v>
      </c>
      <c r="H17" s="119">
        <f t="shared" si="1"/>
        <v>0.81713091348974309</v>
      </c>
      <c r="I17" s="118" t="str">
        <f t="shared" si="2"/>
        <v>MISS</v>
      </c>
      <c r="J17" s="120" t="str">
        <f t="shared" si="3"/>
        <v>0</v>
      </c>
      <c r="K17" s="119">
        <f>'Field data'!K19</f>
        <v>21.256624580540716</v>
      </c>
      <c r="L17" s="119">
        <f>'Field data'!L19*0.0001</f>
        <v>6.8349275178587507E-2</v>
      </c>
      <c r="M17" s="121">
        <f t="shared" si="4"/>
        <v>0</v>
      </c>
      <c r="N17" s="121">
        <f t="shared" si="5"/>
        <v>0</v>
      </c>
      <c r="O17" s="121">
        <f t="shared" si="6"/>
        <v>0</v>
      </c>
    </row>
    <row r="18" spans="1:15" s="122" customFormat="1" x14ac:dyDescent="0.2">
      <c r="A18" s="169">
        <v>205</v>
      </c>
      <c r="B18" s="116"/>
      <c r="C18" s="117">
        <f>'GC rawdata'!V17</f>
        <v>6.613658838127319E-4</v>
      </c>
      <c r="D18" s="117">
        <f>'GC rawdata'!W17</f>
        <v>6.3678662721984949E-4</v>
      </c>
      <c r="E18" s="117">
        <f>'GC rawdata'!X17</f>
        <v>6.4129986534565517E-4</v>
      </c>
      <c r="F18" s="117">
        <f>'GC rawdata'!Y17</f>
        <v>6.5308375562333663E-4</v>
      </c>
      <c r="G18" s="118" t="str">
        <f t="shared" si="0"/>
        <v>FAIL</v>
      </c>
      <c r="H18" s="119">
        <f t="shared" si="1"/>
        <v>5.5117402571006224E-2</v>
      </c>
      <c r="I18" s="118" t="str">
        <f t="shared" si="2"/>
        <v>MISS</v>
      </c>
      <c r="J18" s="120" t="str">
        <f t="shared" si="3"/>
        <v>0</v>
      </c>
      <c r="K18" s="119">
        <f>'Field data'!K20</f>
        <v>21.256624580540716</v>
      </c>
      <c r="L18" s="119">
        <f>'Field data'!L20*0.0001</f>
        <v>6.8349275178587507E-2</v>
      </c>
      <c r="M18" s="121">
        <f t="shared" si="4"/>
        <v>0</v>
      </c>
      <c r="N18" s="121">
        <f t="shared" si="5"/>
        <v>0</v>
      </c>
      <c r="O18" s="121">
        <f t="shared" si="6"/>
        <v>0</v>
      </c>
    </row>
    <row r="19" spans="1:15" s="122" customFormat="1" x14ac:dyDescent="0.2">
      <c r="A19" s="169">
        <v>206</v>
      </c>
      <c r="B19" s="116"/>
      <c r="C19" s="117">
        <f>'GC rawdata'!V18</f>
        <v>6.6394116627125851E-4</v>
      </c>
      <c r="D19" s="117">
        <f>'GC rawdata'!W18</f>
        <v>6.4152692843099258E-4</v>
      </c>
      <c r="E19" s="117">
        <f>'GC rawdata'!X18</f>
        <v>6.467367550511572E-4</v>
      </c>
      <c r="F19" s="117">
        <f>'GC rawdata'!Y18</f>
        <v>6.5202625625257254E-4</v>
      </c>
      <c r="G19" s="118" t="str">
        <f t="shared" si="0"/>
        <v>FAIL</v>
      </c>
      <c r="H19" s="119">
        <f t="shared" si="1"/>
        <v>0.16864796760115025</v>
      </c>
      <c r="I19" s="118" t="str">
        <f t="shared" si="2"/>
        <v>MISS</v>
      </c>
      <c r="J19" s="120" t="str">
        <f t="shared" si="3"/>
        <v>0</v>
      </c>
      <c r="K19" s="119">
        <f>'Field data'!K21</f>
        <v>21.01740211741566</v>
      </c>
      <c r="L19" s="119">
        <f>'Field data'!L21*0.0001</f>
        <v>6.8349275178587507E-2</v>
      </c>
      <c r="M19" s="121">
        <f t="shared" si="4"/>
        <v>0</v>
      </c>
      <c r="N19" s="121">
        <f t="shared" si="5"/>
        <v>0</v>
      </c>
      <c r="O19" s="121">
        <f t="shared" si="6"/>
        <v>0</v>
      </c>
    </row>
    <row r="22" spans="1:15" x14ac:dyDescent="0.2">
      <c r="A22" s="14"/>
      <c r="B22" s="14"/>
      <c r="C22" s="58"/>
      <c r="D22" s="58"/>
      <c r="E22" s="58"/>
      <c r="F22" s="58"/>
      <c r="G22" s="72"/>
      <c r="H22" s="25"/>
      <c r="I22" s="72"/>
      <c r="J22" s="25"/>
      <c r="K22" s="25"/>
      <c r="L22" s="25"/>
      <c r="M22" s="5"/>
      <c r="N22" s="5"/>
      <c r="O22" s="5"/>
    </row>
    <row r="23" spans="1:15" x14ac:dyDescent="0.2">
      <c r="A23" s="161" t="s">
        <v>15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</row>
    <row r="24" spans="1:15" x14ac:dyDescent="0.2">
      <c r="A24" s="42"/>
      <c r="B24" s="42"/>
      <c r="C24" s="162" t="s">
        <v>45</v>
      </c>
      <c r="D24" s="162"/>
      <c r="E24" s="162"/>
      <c r="F24" s="162"/>
      <c r="G24" s="163" t="s">
        <v>36</v>
      </c>
      <c r="H24" s="44" t="s">
        <v>35</v>
      </c>
      <c r="I24" s="164" t="s">
        <v>44</v>
      </c>
      <c r="J24" s="164" t="s">
        <v>21</v>
      </c>
      <c r="K24" s="165" t="s">
        <v>23</v>
      </c>
      <c r="L24" s="166" t="s">
        <v>31</v>
      </c>
      <c r="M24" s="42"/>
      <c r="N24" s="43"/>
      <c r="O24" s="43"/>
    </row>
    <row r="25" spans="1:15" x14ac:dyDescent="0.2">
      <c r="A25" s="167" t="s">
        <v>39</v>
      </c>
      <c r="B25" s="95"/>
      <c r="C25" s="162"/>
      <c r="D25" s="162"/>
      <c r="E25" s="162"/>
      <c r="F25" s="162"/>
      <c r="G25" s="163"/>
      <c r="H25" s="44"/>
      <c r="I25" s="164"/>
      <c r="J25" s="164"/>
      <c r="K25" s="165"/>
      <c r="L25" s="166"/>
      <c r="M25" s="168" t="s">
        <v>46</v>
      </c>
      <c r="N25" s="168"/>
      <c r="O25" s="168"/>
    </row>
    <row r="26" spans="1:15" ht="22.5" x14ac:dyDescent="0.2">
      <c r="A26" s="167"/>
      <c r="B26" s="95" t="s">
        <v>61</v>
      </c>
      <c r="C26" s="100">
        <v>0</v>
      </c>
      <c r="D26" s="100">
        <v>21</v>
      </c>
      <c r="E26" s="100">
        <v>42</v>
      </c>
      <c r="F26" s="100">
        <v>63</v>
      </c>
      <c r="G26" s="62"/>
      <c r="H26" s="44"/>
      <c r="I26" s="62"/>
      <c r="J26" s="57"/>
      <c r="K26" s="165"/>
      <c r="L26" s="166"/>
      <c r="M26" s="45" t="s">
        <v>29</v>
      </c>
      <c r="N26" s="45" t="s">
        <v>30</v>
      </c>
      <c r="O26" s="45" t="s">
        <v>38</v>
      </c>
    </row>
    <row r="27" spans="1:15" x14ac:dyDescent="0.2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</row>
    <row r="28" spans="1:15" x14ac:dyDescent="0.2">
      <c r="A28" s="104">
        <v>101</v>
      </c>
      <c r="B28" s="88"/>
      <c r="C28" s="58">
        <f>'GC rawdata'!V26</f>
        <v>2.3182263539596529E-3</v>
      </c>
      <c r="D28" s="58">
        <f>'GC rawdata'!W26</f>
        <v>3.9254852373973616E-3</v>
      </c>
      <c r="E28" s="58">
        <f>'GC rawdata'!X26</f>
        <v>5.1352337493178581E-3</v>
      </c>
      <c r="F28" s="58">
        <f>'GC rawdata'!Y26</f>
        <v>6.9514853473269141E-3</v>
      </c>
      <c r="G28" s="72" t="str">
        <f>+IF((ABS(F28-C28))&gt;0.000183,"PASS","FAIL")</f>
        <v>PASS</v>
      </c>
      <c r="H28" s="25">
        <f>+RSQ(C28:F28,$C$2:$F$2)</f>
        <v>0.99465662953149081</v>
      </c>
      <c r="I28" s="72" t="str">
        <f>IF(H28&gt;0.845,"LIN","MISS")</f>
        <v>LIN</v>
      </c>
      <c r="J28" s="74">
        <f>IF(G28="FAIL","0",IF(I28="LIN",+SLOPE(C28:F28,$C$2:$F$2),"MISS"))</f>
        <v>7.1950121390582279E-5</v>
      </c>
      <c r="K28" s="25">
        <f>'Field data'!K10</f>
        <v>19.889639076968965</v>
      </c>
      <c r="L28" s="25">
        <f>'Field data'!L10*0.0001</f>
        <v>6.8349275178587507E-2</v>
      </c>
      <c r="M28" s="5">
        <f>IF(J28="MISS","MISS",((K28/L28)*J28))</f>
        <v>2.0937485324659444E-2</v>
      </c>
      <c r="N28" s="5">
        <f>IF(M28="MISS","MISS",M28*60)</f>
        <v>1.2562491194795666</v>
      </c>
      <c r="O28" s="5">
        <f>IF(N28="MISS","MISS",N28*240)</f>
        <v>301.499788675096</v>
      </c>
    </row>
    <row r="29" spans="1:15" x14ac:dyDescent="0.2">
      <c r="A29" s="104">
        <v>102</v>
      </c>
      <c r="B29" s="88"/>
      <c r="C29" s="58">
        <f>'GC rawdata'!V27</f>
        <v>1.5555757245017668E-3</v>
      </c>
      <c r="D29" s="58">
        <f>'GC rawdata'!W27</f>
        <v>2.2084054081689358E-3</v>
      </c>
      <c r="E29" s="58">
        <f>'GC rawdata'!X27</f>
        <v>2.9123616483943764E-3</v>
      </c>
      <c r="F29" s="58">
        <f>'GC rawdata'!Y27</f>
        <v>3.7867992590569716E-3</v>
      </c>
      <c r="G29" s="72" t="str">
        <f t="shared" ref="G29:G39" si="7">+IF((ABS(F29-C29))&gt;0.000183,"PASS","FAIL")</f>
        <v>PASS</v>
      </c>
      <c r="H29" s="25">
        <f t="shared" ref="H29:H30" si="8">+RSQ(C29:F29,$C$2:$F$2)</f>
        <v>0.99527512129705231</v>
      </c>
      <c r="I29" s="72" t="str">
        <f t="shared" ref="I29:I39" si="9">IF(H29&gt;0.845,"LIN","MISS")</f>
        <v>LIN</v>
      </c>
      <c r="J29" s="74">
        <f t="shared" ref="J29:J39" si="10">IF(G29="FAIL","0",IF(I29="LIN",+SLOPE(C29:F29,$C$2:$F$2),"MISS"))</f>
        <v>3.5226794494719313E-5</v>
      </c>
      <c r="K29" s="25">
        <f>'Field data'!K11</f>
        <v>17.514501764513046</v>
      </c>
      <c r="L29" s="25">
        <f>'Field data'!L11*0.0001</f>
        <v>6.8349275178587507E-2</v>
      </c>
      <c r="M29" s="5">
        <f t="shared" ref="M29:M39" si="11">IF(J29="MISS","MISS",((K29/L29)*J29))</f>
        <v>9.0268660892718223E-3</v>
      </c>
      <c r="N29" s="5">
        <f t="shared" ref="N29:N39" si="12">IF(M29="MISS","MISS",M29*60)</f>
        <v>0.54161196535630929</v>
      </c>
      <c r="O29" s="5">
        <f t="shared" ref="O29" si="13">IF(N29="MISS","MISS",N29*240)</f>
        <v>129.98687168551422</v>
      </c>
    </row>
    <row r="30" spans="1:15" x14ac:dyDescent="0.2">
      <c r="A30" s="104">
        <v>103</v>
      </c>
      <c r="B30" s="88"/>
      <c r="C30" s="58">
        <f>'GC rawdata'!V28</f>
        <v>1.5074220499181042E-3</v>
      </c>
      <c r="D30" s="58">
        <f>'GC rawdata'!W28</f>
        <v>2.0936420272303306E-3</v>
      </c>
      <c r="E30" s="58">
        <f>'GC rawdata'!X28</f>
        <v>2.6657668088527517E-3</v>
      </c>
      <c r="F30" s="58">
        <f>'GC rawdata'!Y28</f>
        <v>3.2347948813279733E-3</v>
      </c>
      <c r="G30" s="72" t="str">
        <f t="shared" si="7"/>
        <v>PASS</v>
      </c>
      <c r="H30" s="25">
        <f t="shared" si="8"/>
        <v>0.99995171748871114</v>
      </c>
      <c r="I30" s="72" t="str">
        <f t="shared" si="9"/>
        <v>LIN</v>
      </c>
      <c r="J30" s="74">
        <f t="shared" si="10"/>
        <v>2.7401158456438228E-5</v>
      </c>
      <c r="K30" s="25">
        <f>'Field data'!K12</f>
        <v>18.864399949290153</v>
      </c>
      <c r="L30" s="25">
        <f>'Field data'!L12*0.0001</f>
        <v>6.8349275178587507E-2</v>
      </c>
      <c r="M30" s="5">
        <f t="shared" si="11"/>
        <v>7.5627197339769511E-3</v>
      </c>
      <c r="N30" s="5">
        <f t="shared" si="12"/>
        <v>0.45376318403861704</v>
      </c>
      <c r="O30" s="5">
        <f t="shared" ref="O30" si="14">IF(N30="MISS","MISS",N30*240)</f>
        <v>108.90316416926809</v>
      </c>
    </row>
    <row r="31" spans="1:15" x14ac:dyDescent="0.2">
      <c r="A31" s="104">
        <v>104</v>
      </c>
      <c r="B31" s="88"/>
      <c r="C31" s="58">
        <f>'GC rawdata'!V29</f>
        <v>1.4969134886571628E-3</v>
      </c>
      <c r="D31" s="58">
        <f>'GC rawdata'!W29</f>
        <v>1.4802769965005299E-3</v>
      </c>
      <c r="E31" s="58">
        <f>'GC rawdata'!X29</f>
        <v>2.502226428427947E-3</v>
      </c>
      <c r="F31" s="58">
        <f>'GC rawdata'!Y29</f>
        <v>2.9139787360339081E-3</v>
      </c>
      <c r="G31" s="72" t="str">
        <f t="shared" si="7"/>
        <v>PASS</v>
      </c>
      <c r="H31" s="25">
        <f>+RSQ(C31:F31,$C$2:$F$2)</f>
        <v>0.88435674317047586</v>
      </c>
      <c r="I31" s="72" t="str">
        <f t="shared" si="9"/>
        <v>LIN</v>
      </c>
      <c r="J31" s="74">
        <f t="shared" si="10"/>
        <v>2.5110215114560254E-5</v>
      </c>
      <c r="K31" s="25">
        <f>'Field data'!K13</f>
        <v>20.060512264915431</v>
      </c>
      <c r="L31" s="25">
        <f>'Field data'!L13*0.0001</f>
        <v>6.8349275178587507E-2</v>
      </c>
      <c r="M31" s="5">
        <f t="shared" si="11"/>
        <v>7.3698481361234329E-3</v>
      </c>
      <c r="N31" s="5">
        <f t="shared" si="12"/>
        <v>0.44219088816740598</v>
      </c>
      <c r="O31" s="5">
        <f t="shared" ref="O31:O39" si="15">IF(N31="MISS","MISS",N31*240)</f>
        <v>106.12581316017743</v>
      </c>
    </row>
    <row r="32" spans="1:15" x14ac:dyDescent="0.2">
      <c r="A32" s="104">
        <v>105</v>
      </c>
      <c r="B32" s="88"/>
      <c r="C32" s="58">
        <f>'GC rawdata'!V30</f>
        <v>1.8093802666546261E-3</v>
      </c>
      <c r="D32" s="58">
        <f>'GC rawdata'!W30</f>
        <v>3.0634737211093156E-3</v>
      </c>
      <c r="E32" s="58">
        <f>'GC rawdata'!X30</f>
        <v>4.1307750816783548E-3</v>
      </c>
      <c r="F32" s="58">
        <f>'GC rawdata'!Y30</f>
        <v>5.1641160629847995E-3</v>
      </c>
      <c r="G32" s="72" t="str">
        <f t="shared" si="7"/>
        <v>PASS</v>
      </c>
      <c r="H32" s="25">
        <f t="shared" ref="H32:H39" si="16">+RSQ(C32:F32,$C$2:$F$2)</f>
        <v>0.9978497247981386</v>
      </c>
      <c r="I32" s="72" t="str">
        <f t="shared" si="9"/>
        <v>LIN</v>
      </c>
      <c r="J32" s="74">
        <f t="shared" si="10"/>
        <v>5.3007184521712189E-5</v>
      </c>
      <c r="K32" s="25">
        <f>'Field data'!K14</f>
        <v>18.864399949290153</v>
      </c>
      <c r="L32" s="25">
        <f>'Field data'!L14*0.0001</f>
        <v>6.8349275178587507E-2</v>
      </c>
      <c r="M32" s="5">
        <f t="shared" si="11"/>
        <v>1.4629982927992564E-2</v>
      </c>
      <c r="N32" s="5">
        <f t="shared" si="12"/>
        <v>0.87779897567955389</v>
      </c>
      <c r="O32" s="5">
        <f t="shared" si="15"/>
        <v>210.67175416309294</v>
      </c>
    </row>
    <row r="33" spans="1:15" x14ac:dyDescent="0.2">
      <c r="A33" s="104">
        <v>106</v>
      </c>
      <c r="B33" s="88"/>
      <c r="C33" s="58">
        <f>'GC rawdata'!V31</f>
        <v>1.6987802774008813E-3</v>
      </c>
      <c r="D33" s="58">
        <f>'GC rawdata'!W31</f>
        <v>2.6717103579971722E-3</v>
      </c>
      <c r="E33" s="58">
        <f>'GC rawdata'!X31</f>
        <v>3.8150338737255015E-3</v>
      </c>
      <c r="F33" s="58">
        <f>'GC rawdata'!Y31</f>
        <v>4.7698855344242329E-3</v>
      </c>
      <c r="G33" s="72" t="str">
        <f t="shared" si="7"/>
        <v>PASS</v>
      </c>
      <c r="H33" s="25">
        <f t="shared" si="16"/>
        <v>0.99878556697840504</v>
      </c>
      <c r="I33" s="72" t="str">
        <f t="shared" si="9"/>
        <v>LIN</v>
      </c>
      <c r="J33" s="74">
        <f t="shared" si="10"/>
        <v>4.9317329937135165E-5</v>
      </c>
      <c r="K33" s="25">
        <f>'Field data'!K15</f>
        <v>18.693526761343684</v>
      </c>
      <c r="L33" s="25">
        <f>'Field data'!L15*0.0001</f>
        <v>6.8349275178587507E-2</v>
      </c>
      <c r="M33" s="5">
        <f t="shared" si="11"/>
        <v>1.3488289737806467E-2</v>
      </c>
      <c r="N33" s="5">
        <f t="shared" si="12"/>
        <v>0.80929738426838804</v>
      </c>
      <c r="O33" s="5">
        <f t="shared" si="15"/>
        <v>194.23137222441312</v>
      </c>
    </row>
    <row r="34" spans="1:15" x14ac:dyDescent="0.2">
      <c r="A34" s="104">
        <v>201</v>
      </c>
      <c r="B34" s="88"/>
      <c r="C34" s="58">
        <f>'GC rawdata'!V32</f>
        <v>1.4620430810403254E-3</v>
      </c>
      <c r="D34" s="58">
        <f>'GC rawdata'!W32</f>
        <v>2.8516855680888378E-3</v>
      </c>
      <c r="E34" s="58">
        <f>'GC rawdata'!X32</f>
        <v>3.8062371403563594E-3</v>
      </c>
      <c r="F34" s="58">
        <f>'GC rawdata'!Y32</f>
        <v>4.693919486738001E-3</v>
      </c>
      <c r="G34" s="72" t="str">
        <f t="shared" si="7"/>
        <v>PASS</v>
      </c>
      <c r="H34" s="25">
        <f t="shared" si="16"/>
        <v>0.98784718897440504</v>
      </c>
      <c r="I34" s="72" t="str">
        <f t="shared" si="9"/>
        <v>LIN</v>
      </c>
      <c r="J34" s="74">
        <f t="shared" si="10"/>
        <v>5.0715146616002614E-5</v>
      </c>
      <c r="K34" s="25">
        <f>'Field data'!K16</f>
        <v>18.949836543263388</v>
      </c>
      <c r="L34" s="25">
        <f>'Field data'!L16*0.0001</f>
        <v>6.8349275178587507E-2</v>
      </c>
      <c r="M34" s="5">
        <f t="shared" si="11"/>
        <v>1.4060774399286725E-2</v>
      </c>
      <c r="N34" s="5">
        <f t="shared" si="12"/>
        <v>0.84364646395720355</v>
      </c>
      <c r="O34" s="5">
        <f t="shared" si="15"/>
        <v>202.47515134972886</v>
      </c>
    </row>
    <row r="35" spans="1:15" x14ac:dyDescent="0.2">
      <c r="A35" s="104">
        <v>202</v>
      </c>
      <c r="B35" s="88"/>
      <c r="C35" s="58">
        <f>'GC rawdata'!V33</f>
        <v>1.5010186384803921E-3</v>
      </c>
      <c r="D35" s="58">
        <f>'GC rawdata'!W33</f>
        <v>2.2359651168150549E-3</v>
      </c>
      <c r="E35" s="58">
        <f>'GC rawdata'!X33</f>
        <v>2.8747353702524752E-3</v>
      </c>
      <c r="F35" s="58">
        <f>'GC rawdata'!Y33</f>
        <v>3.8931853532351616E-3</v>
      </c>
      <c r="G35" s="72" t="str">
        <f t="shared" si="7"/>
        <v>PASS</v>
      </c>
      <c r="H35" s="25">
        <f t="shared" si="16"/>
        <v>0.98981780828863719</v>
      </c>
      <c r="I35" s="72" t="str">
        <f t="shared" si="9"/>
        <v>LIN</v>
      </c>
      <c r="J35" s="74">
        <f t="shared" si="10"/>
        <v>3.7215573322389186E-5</v>
      </c>
      <c r="K35" s="25">
        <f>'Field data'!K17</f>
        <v>20.145948858888666</v>
      </c>
      <c r="L35" s="25">
        <f>'Field data'!L17*0.0001</f>
        <v>6.8349275178587507E-2</v>
      </c>
      <c r="M35" s="5">
        <f t="shared" si="11"/>
        <v>1.0969290236774211E-2</v>
      </c>
      <c r="N35" s="5">
        <f t="shared" si="12"/>
        <v>0.65815741420645268</v>
      </c>
      <c r="O35" s="5">
        <f t="shared" si="15"/>
        <v>157.95777940954864</v>
      </c>
    </row>
    <row r="36" spans="1:15" x14ac:dyDescent="0.2">
      <c r="A36" s="104">
        <v>203</v>
      </c>
      <c r="B36" s="88"/>
      <c r="C36" s="58">
        <f>'GC rawdata'!V34</f>
        <v>1.5260138522196561E-3</v>
      </c>
      <c r="D36" s="58">
        <f>'GC rawdata'!W34</f>
        <v>1.677958824721205E-3</v>
      </c>
      <c r="E36" s="58">
        <f>'GC rawdata'!X34</f>
        <v>1.8992067970675249E-3</v>
      </c>
      <c r="F36" s="58">
        <f>'GC rawdata'!Y34</f>
        <v>2.1850468890231719E-3</v>
      </c>
      <c r="G36" s="72" t="str">
        <f t="shared" si="7"/>
        <v>PASS</v>
      </c>
      <c r="H36" s="25">
        <f t="shared" si="16"/>
        <v>0.98178493003424361</v>
      </c>
      <c r="I36" s="72" t="str">
        <f t="shared" si="9"/>
        <v>LIN</v>
      </c>
      <c r="J36" s="74">
        <f t="shared" si="10"/>
        <v>1.0468319441699369E-5</v>
      </c>
      <c r="K36" s="25">
        <f>'Field data'!K18</f>
        <v>20.40225864080837</v>
      </c>
      <c r="L36" s="25">
        <f>'Field data'!L18*0.0001</f>
        <v>6.8349275178587507E-2</v>
      </c>
      <c r="M36" s="5">
        <f t="shared" si="11"/>
        <v>3.1247933533472614E-3</v>
      </c>
      <c r="N36" s="5">
        <f t="shared" si="12"/>
        <v>0.18748760120083569</v>
      </c>
      <c r="O36" s="5">
        <f t="shared" si="15"/>
        <v>44.997024288200564</v>
      </c>
    </row>
    <row r="37" spans="1:15" s="122" customFormat="1" x14ac:dyDescent="0.2">
      <c r="A37" s="169">
        <v>204</v>
      </c>
      <c r="B37" s="116"/>
      <c r="C37" s="117">
        <f>'GC rawdata'!V35</f>
        <v>1.4681510723654175E-3</v>
      </c>
      <c r="D37" s="117">
        <f>'GC rawdata'!W35</f>
        <v>2.1393642667041327E-3</v>
      </c>
      <c r="E37" s="117">
        <f>'GC rawdata'!X35</f>
        <v>2.867801871711735E-3</v>
      </c>
      <c r="F37" s="117">
        <f>'GC rawdata'!Y35</f>
        <v>3.6616924135291248E-3</v>
      </c>
      <c r="G37" s="118" t="str">
        <f t="shared" si="7"/>
        <v>PASS</v>
      </c>
      <c r="H37" s="119">
        <f t="shared" si="16"/>
        <v>0.99859215687739666</v>
      </c>
      <c r="I37" s="118" t="str">
        <f t="shared" si="9"/>
        <v>LIN</v>
      </c>
      <c r="J37" s="120">
        <f t="shared" si="10"/>
        <v>3.4805055373803446E-5</v>
      </c>
      <c r="K37" s="119">
        <f>'Field data'!K19</f>
        <v>21.256624580540716</v>
      </c>
      <c r="L37" s="119">
        <f>'Field data'!L19*0.0001</f>
        <v>6.8349275178587507E-2</v>
      </c>
      <c r="M37" s="121">
        <f t="shared" si="11"/>
        <v>1.0824372221252872E-2</v>
      </c>
      <c r="N37" s="121">
        <f t="shared" si="12"/>
        <v>0.64946233327517233</v>
      </c>
      <c r="O37" s="121">
        <f t="shared" si="15"/>
        <v>155.87095998604136</v>
      </c>
    </row>
    <row r="38" spans="1:15" s="122" customFormat="1" x14ac:dyDescent="0.2">
      <c r="A38" s="169">
        <v>205</v>
      </c>
      <c r="B38" s="116"/>
      <c r="C38" s="117">
        <f>'GC rawdata'!V36</f>
        <v>1.5411018069164133E-3</v>
      </c>
      <c r="D38" s="117">
        <f>'GC rawdata'!W36</f>
        <v>1.715532138913761E-3</v>
      </c>
      <c r="E38" s="117">
        <f>'GC rawdata'!X36</f>
        <v>2.0404165404120508E-3</v>
      </c>
      <c r="F38" s="117">
        <f>'GC rawdata'!Y36</f>
        <v>2.3443745634531563E-3</v>
      </c>
      <c r="G38" s="118" t="str">
        <f t="shared" si="7"/>
        <v>PASS</v>
      </c>
      <c r="H38" s="119">
        <f t="shared" si="16"/>
        <v>0.98508159853141763</v>
      </c>
      <c r="I38" s="118" t="str">
        <f t="shared" si="9"/>
        <v>LIN</v>
      </c>
      <c r="J38" s="120">
        <f t="shared" si="10"/>
        <v>1.3022393671945328E-5</v>
      </c>
      <c r="K38" s="119">
        <f>'Field data'!K20</f>
        <v>21.256624580540716</v>
      </c>
      <c r="L38" s="119">
        <f>'Field data'!L20*0.0001</f>
        <v>6.8349275178587507E-2</v>
      </c>
      <c r="M38" s="121">
        <f t="shared" si="11"/>
        <v>4.0499644319749971E-3</v>
      </c>
      <c r="N38" s="121">
        <f t="shared" si="12"/>
        <v>0.24299786591849981</v>
      </c>
      <c r="O38" s="121">
        <f t="shared" si="15"/>
        <v>58.319487820439953</v>
      </c>
    </row>
    <row r="39" spans="1:15" s="122" customFormat="1" x14ac:dyDescent="0.2">
      <c r="A39" s="169">
        <v>206</v>
      </c>
      <c r="B39" s="116"/>
      <c r="C39" s="117">
        <f>'GC rawdata'!V37</f>
        <v>1.3783006682539752E-3</v>
      </c>
      <c r="D39" s="117">
        <f>'GC rawdata'!W37</f>
        <v>1.8399763176239307E-3</v>
      </c>
      <c r="E39" s="117">
        <f>'GC rawdata'!X37</f>
        <v>2.1528377702358563E-3</v>
      </c>
      <c r="F39" s="117">
        <f>'GC rawdata'!Y37</f>
        <v>2.6526264207583344E-3</v>
      </c>
      <c r="G39" s="118" t="str">
        <f t="shared" si="7"/>
        <v>PASS</v>
      </c>
      <c r="H39" s="119">
        <f t="shared" si="16"/>
        <v>0.99303429529450737</v>
      </c>
      <c r="I39" s="118" t="str">
        <f t="shared" si="9"/>
        <v>LIN</v>
      </c>
      <c r="J39" s="120">
        <f t="shared" si="10"/>
        <v>1.9694470048214302E-5</v>
      </c>
      <c r="K39" s="119">
        <f>'Field data'!K21</f>
        <v>21.01740211741566</v>
      </c>
      <c r="L39" s="119">
        <f>'Field data'!L21*0.0001</f>
        <v>6.8349275178587507E-2</v>
      </c>
      <c r="M39" s="121">
        <f t="shared" si="11"/>
        <v>6.0560495398258975E-3</v>
      </c>
      <c r="N39" s="121">
        <f t="shared" si="12"/>
        <v>0.36336297238955384</v>
      </c>
      <c r="O39" s="121">
        <f t="shared" si="15"/>
        <v>87.207113373492916</v>
      </c>
    </row>
  </sheetData>
  <sheetProtection selectLockedCells="1" selectUnlockedCells="1"/>
  <mergeCells count="19">
    <mergeCell ref="A23:O23"/>
    <mergeCell ref="C24:F25"/>
    <mergeCell ref="G24:G25"/>
    <mergeCell ref="I24:I25"/>
    <mergeCell ref="J24:J25"/>
    <mergeCell ref="K24:K26"/>
    <mergeCell ref="L24:L26"/>
    <mergeCell ref="A25:A26"/>
    <mergeCell ref="M25:O25"/>
    <mergeCell ref="A5:A6"/>
    <mergeCell ref="C4:F5"/>
    <mergeCell ref="C1:F1"/>
    <mergeCell ref="J4:J5"/>
    <mergeCell ref="A3:O3"/>
    <mergeCell ref="G4:G5"/>
    <mergeCell ref="M5:O5"/>
    <mergeCell ref="K4:K6"/>
    <mergeCell ref="I4:I5"/>
    <mergeCell ref="L4:L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Field data</vt:lpstr>
      <vt:lpstr>GC rawdata</vt:lpstr>
      <vt:lpstr>Flux data</vt:lpstr>
      <vt:lpstr>'GC rawdata'!Print_Area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JunJun Arlene</dc:creator>
  <cp:keywords/>
  <dc:description/>
  <cp:lastModifiedBy>Zhang Zhenglin</cp:lastModifiedBy>
  <cp:lastPrinted>2011-06-06T22:44:09Z</cp:lastPrinted>
  <dcterms:created xsi:type="dcterms:W3CDTF">2006-07-14T13:36:03Z</dcterms:created>
  <dcterms:modified xsi:type="dcterms:W3CDTF">2026-08-07T22:49:33Z</dcterms:modified>
  <cp:category/>
</cp:coreProperties>
</file>